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-165" yWindow="-375" windowWidth="19515" windowHeight="12705" activeTab="2"/>
  </bookViews>
  <sheets>
    <sheet name="DOC History" sheetId="6" r:id="rId1"/>
    <sheet name="Definition" sheetId="7" r:id="rId2"/>
    <sheet name="Data" sheetId="8" r:id="rId3"/>
    <sheet name="Type" sheetId="9" r:id="rId4"/>
  </sheets>
  <definedNames>
    <definedName name="_xlnm._FilterDatabase" localSheetId="2" hidden="1">Data!$A$1:$T$2</definedName>
  </definedNames>
  <calcPr calcId="145621"/>
</workbook>
</file>

<file path=xl/calcChain.xml><?xml version="1.0" encoding="utf-8"?>
<calcChain xmlns="http://schemas.openxmlformats.org/spreadsheetml/2006/main">
  <c r="D50" i="8" l="1"/>
  <c r="E50" i="8" s="1"/>
  <c r="D53" i="8"/>
  <c r="E53" i="8" s="1"/>
  <c r="D54" i="8"/>
  <c r="E54" i="8" s="1"/>
  <c r="D52" i="8"/>
  <c r="E52" i="8" s="1"/>
  <c r="D51" i="8"/>
  <c r="E51" i="8" s="1"/>
  <c r="D49" i="8"/>
  <c r="E49" i="8" s="1"/>
  <c r="D48" i="8"/>
  <c r="E48" i="8" s="1"/>
  <c r="D47" i="8"/>
  <c r="E47" i="8" s="1"/>
  <c r="D46" i="8" l="1"/>
  <c r="E46" i="8" s="1"/>
  <c r="D45" i="8"/>
  <c r="E45" i="8" s="1"/>
  <c r="D44" i="8"/>
  <c r="E44" i="8" s="1"/>
  <c r="D43" i="8" l="1"/>
  <c r="E43" i="8" s="1"/>
  <c r="D42" i="8" l="1"/>
  <c r="E42" i="8" s="1"/>
  <c r="D41" i="8"/>
  <c r="E41" i="8" s="1"/>
  <c r="D33" i="8" l="1"/>
  <c r="E33" i="8" s="1"/>
  <c r="D34" i="8"/>
  <c r="E34" i="8" s="1"/>
  <c r="D35" i="8"/>
  <c r="E35" i="8" s="1"/>
  <c r="D36" i="8"/>
  <c r="E36" i="8" s="1"/>
  <c r="D37" i="8"/>
  <c r="E37" i="8" s="1"/>
  <c r="D38" i="8"/>
  <c r="E38" i="8" s="1"/>
  <c r="D39" i="8"/>
  <c r="E39" i="8" s="1"/>
  <c r="D40" i="8"/>
  <c r="E40" i="8" s="1"/>
  <c r="D32" i="8"/>
  <c r="E32" i="8" s="1"/>
  <c r="D31" i="8" l="1"/>
  <c r="E31" i="8" s="1"/>
  <c r="D30" i="8"/>
  <c r="E30" i="8" s="1"/>
  <c r="D29" i="8"/>
  <c r="E29" i="8" s="1"/>
  <c r="D28" i="8"/>
  <c r="E28" i="8" s="1"/>
  <c r="D27" i="8"/>
  <c r="E27" i="8" s="1"/>
  <c r="D26" i="8"/>
  <c r="E26" i="8" s="1"/>
  <c r="D25" i="8"/>
  <c r="E25" i="8" s="1"/>
  <c r="D24" i="8"/>
  <c r="E24" i="8" s="1"/>
  <c r="D23" i="8"/>
  <c r="E23" i="8" s="1"/>
  <c r="D22" i="8"/>
  <c r="E22" i="8" s="1"/>
  <c r="D21" i="8"/>
  <c r="E21" i="8" s="1"/>
  <c r="D20" i="8"/>
  <c r="E20" i="8" s="1"/>
  <c r="D19" i="8"/>
  <c r="E19" i="8" s="1"/>
  <c r="D18" i="8"/>
  <c r="E18" i="8" s="1"/>
  <c r="D17" i="8"/>
  <c r="E17" i="8" s="1"/>
  <c r="D16" i="8"/>
  <c r="E16" i="8" s="1"/>
  <c r="D15" i="8"/>
  <c r="E15" i="8" s="1"/>
  <c r="D14" i="8"/>
  <c r="E14" i="8" s="1"/>
  <c r="D13" i="8"/>
  <c r="E13" i="8" s="1"/>
  <c r="D3" i="8" l="1"/>
  <c r="E3" i="8" s="1"/>
  <c r="D4" i="8"/>
  <c r="E4" i="8" s="1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2" i="8"/>
  <c r="E2" i="8" s="1"/>
</calcChain>
</file>

<file path=xl/sharedStrings.xml><?xml version="1.0" encoding="utf-8"?>
<sst xmlns="http://schemas.openxmlformats.org/spreadsheetml/2006/main" count="725" uniqueCount="336">
  <si>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</si>
  <si>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</si>
  <si>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</si>
  <si>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</si>
  <si>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</si>
  <si>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</si>
  <si>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</si>
  <si>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</si>
  <si>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</si>
  <si>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</si>
  <si>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</si>
  <si>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</si>
  <si>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</si>
  <si>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</si>
  <si>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</si>
  <si>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</si>
  <si>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  <phoneticPr fontId="1" type="noConversion"/>
  </si>
  <si>
    <t>Name</t>
    <phoneticPr fontId="1" type="noConversion"/>
  </si>
  <si>
    <t>STR</t>
    <phoneticPr fontId="1" type="noConversion"/>
  </si>
  <si>
    <t>DESC</t>
    <phoneticPr fontId="1" type="noConversion"/>
  </si>
  <si>
    <t>NULL</t>
    <phoneticPr fontId="1" type="noConversion"/>
  </si>
  <si>
    <t>명칭</t>
    <phoneticPr fontId="1" type="noConversion"/>
  </si>
  <si>
    <t>dev_name</t>
    <phoneticPr fontId="1" type="noConversion"/>
  </si>
  <si>
    <t>string</t>
    <phoneticPr fontId="1" type="noConversion"/>
  </si>
  <si>
    <t>기획에서 데이터에 대해 붙인 네이밍, 실제 데이터에는 반영되지 않음</t>
    <phoneticPr fontId="1" type="noConversion"/>
  </si>
  <si>
    <t>아이디</t>
    <phoneticPr fontId="1" type="noConversion"/>
  </si>
  <si>
    <t>이름</t>
    <phoneticPr fontId="1" type="noConversion"/>
  </si>
  <si>
    <t>이름 문자열</t>
    <phoneticPr fontId="1" type="noConversion"/>
  </si>
  <si>
    <t>설명 문자열</t>
    <phoneticPr fontId="1" type="noConversion"/>
  </si>
  <si>
    <t>변동언</t>
    <phoneticPr fontId="1" type="noConversion"/>
  </si>
  <si>
    <t>타입</t>
    <phoneticPr fontId="1" type="noConversion"/>
  </si>
  <si>
    <t>데이터 이름. 키 값으로 사용하므로 중복되면 안됨</t>
    <phoneticPr fontId="1" type="noConversion"/>
  </si>
  <si>
    <t>UI를 통해서 유저에게 보여지는 이름 텍스트의 참조값, Table_String_Kor 테이블에서 참조</t>
    <phoneticPr fontId="1" type="noConversion"/>
  </si>
  <si>
    <t>UI를 통해서 유저에게 보여지는 설명 텍스트의 참조값, Table_String_Kor 테이블에서 참조</t>
    <phoneticPr fontId="1" type="noConversion"/>
  </si>
  <si>
    <t>array</t>
    <phoneticPr fontId="1" type="noConversion"/>
  </si>
  <si>
    <t>end</t>
  </si>
  <si>
    <t>NULL</t>
  </si>
  <si>
    <t>string</t>
    <phoneticPr fontId="1" type="noConversion"/>
  </si>
  <si>
    <t>NULL</t>
    <phoneticPr fontId="1" type="noConversion"/>
  </si>
  <si>
    <t>EndArray</t>
    <phoneticPr fontId="1" type="noConversion"/>
  </si>
  <si>
    <t>Grade</t>
    <phoneticPr fontId="1" type="noConversion"/>
  </si>
  <si>
    <t/>
  </si>
  <si>
    <t>데이터의 고유한 키값 (ID대역: 30000~30999 테스트 데이터, 31000 ~ 47999 실데이터, 48000 ~ 49999 미션용)</t>
    <phoneticPr fontId="1" type="noConversion"/>
  </si>
  <si>
    <t>등급</t>
    <phoneticPr fontId="1" type="noConversion"/>
  </si>
  <si>
    <t>Grade</t>
    <phoneticPr fontId="1" type="noConversion"/>
  </si>
  <si>
    <t>None</t>
    <phoneticPr fontId="1" type="noConversion"/>
  </si>
  <si>
    <t>가격</t>
    <phoneticPr fontId="1" type="noConversion"/>
  </si>
  <si>
    <t>Price</t>
    <phoneticPr fontId="1" type="noConversion"/>
  </si>
  <si>
    <t>드롭 배열</t>
    <phoneticPr fontId="1" type="noConversion"/>
  </si>
  <si>
    <t>Drop_Array</t>
    <phoneticPr fontId="1" type="noConversion"/>
  </si>
  <si>
    <t>드롭 데이터</t>
    <phoneticPr fontId="1" type="noConversion"/>
  </si>
  <si>
    <t>Drop</t>
    <phoneticPr fontId="1" type="noConversion"/>
  </si>
  <si>
    <t>드롭 데이터 이름</t>
    <phoneticPr fontId="1" type="noConversion"/>
  </si>
  <si>
    <t>Price</t>
    <phoneticPr fontId="1" type="noConversion"/>
  </si>
  <si>
    <t>Drop_1</t>
    <phoneticPr fontId="1" type="noConversion"/>
  </si>
  <si>
    <t>Drop_2</t>
  </si>
  <si>
    <t>Drop_3</t>
  </si>
  <si>
    <t>Icon</t>
    <phoneticPr fontId="1" type="noConversion"/>
  </si>
  <si>
    <t>아이콘</t>
    <phoneticPr fontId="1" type="noConversion"/>
  </si>
  <si>
    <t>아이콘 이름</t>
    <phoneticPr fontId="1" type="noConversion"/>
  </si>
  <si>
    <t>맵 타입</t>
    <phoneticPr fontId="1" type="noConversion"/>
  </si>
  <si>
    <t>모델</t>
    <phoneticPr fontId="1" type="noConversion"/>
  </si>
  <si>
    <t>Model</t>
    <phoneticPr fontId="1" type="noConversion"/>
  </si>
  <si>
    <t>맵 프리펩 이름</t>
    <phoneticPr fontId="1" type="noConversion"/>
  </si>
  <si>
    <t>이미지</t>
    <phoneticPr fontId="1" type="noConversion"/>
  </si>
  <si>
    <t>Image</t>
    <phoneticPr fontId="1" type="noConversion"/>
  </si>
  <si>
    <t>맵 이미지</t>
    <phoneticPr fontId="1" type="noConversion"/>
  </si>
  <si>
    <t>입장 시 소모되는 하트 수</t>
    <phoneticPr fontId="1" type="noConversion"/>
  </si>
  <si>
    <t>클리어 조건 금관</t>
    <phoneticPr fontId="1" type="noConversion"/>
  </si>
  <si>
    <t>클리어 조건 은관</t>
    <phoneticPr fontId="1" type="noConversion"/>
  </si>
  <si>
    <t>float</t>
    <phoneticPr fontId="1" type="noConversion"/>
  </si>
  <si>
    <t>float</t>
    <phoneticPr fontId="1" type="noConversion"/>
  </si>
  <si>
    <t>금관을 획득하기 위한 조건(초)</t>
    <phoneticPr fontId="1" type="noConversion"/>
  </si>
  <si>
    <t>은관을 획득하기 위한 조건(초)</t>
    <phoneticPr fontId="1" type="noConversion"/>
  </si>
  <si>
    <t>보상 골드</t>
    <phoneticPr fontId="1" type="noConversion"/>
  </si>
  <si>
    <t>Reward_Gold</t>
    <phoneticPr fontId="1" type="noConversion"/>
  </si>
  <si>
    <t>클리어 시 주어지는 골드</t>
    <phoneticPr fontId="1" type="noConversion"/>
  </si>
  <si>
    <t>은관 획득 시 추가 드롭</t>
    <phoneticPr fontId="1" type="noConversion"/>
  </si>
  <si>
    <t>금관 획득 시 추가 드롭</t>
    <phoneticPr fontId="1" type="noConversion"/>
  </si>
  <si>
    <t>게임 클리어 시 나올 드롭 데이터</t>
    <phoneticPr fontId="1" type="noConversion"/>
  </si>
  <si>
    <t>Cond_Gold</t>
    <phoneticPr fontId="1" type="noConversion"/>
  </si>
  <si>
    <t>Cond_Silver</t>
    <phoneticPr fontId="1" type="noConversion"/>
  </si>
  <si>
    <t>Add_Drop_1</t>
    <phoneticPr fontId="1" type="noConversion"/>
  </si>
  <si>
    <t>Add_Drop_2</t>
  </si>
  <si>
    <t>Add_Drop_2</t>
    <phoneticPr fontId="1" type="noConversion"/>
  </si>
  <si>
    <t>Cond_Gold</t>
    <phoneticPr fontId="1" type="noConversion"/>
  </si>
  <si>
    <t>Model</t>
    <phoneticPr fontId="1" type="noConversion"/>
  </si>
  <si>
    <t>Image</t>
    <phoneticPr fontId="1" type="noConversion"/>
  </si>
  <si>
    <t>Add_Drop_1</t>
    <phoneticPr fontId="1" type="noConversion"/>
  </si>
  <si>
    <t>icon_map_0001</t>
    <phoneticPr fontId="1" type="noConversion"/>
  </si>
  <si>
    <t>icon_map_0002</t>
    <phoneticPr fontId="1" type="noConversion"/>
  </si>
  <si>
    <t>img_map_0002</t>
    <phoneticPr fontId="1" type="noConversion"/>
  </si>
  <si>
    <t>pf_Map_50001</t>
  </si>
  <si>
    <t>pf_Map_50002</t>
  </si>
  <si>
    <t>pf_Map_50003</t>
  </si>
  <si>
    <t>pf_Map_50004</t>
  </si>
  <si>
    <t>pf_Map_50005</t>
  </si>
  <si>
    <t>pf_Map_50006</t>
  </si>
  <si>
    <t>pf_Map_50007</t>
  </si>
  <si>
    <t>pf_Map_50008</t>
  </si>
  <si>
    <t>pf_Map_50009</t>
  </si>
  <si>
    <t>pf_Map_50010</t>
  </si>
  <si>
    <t>pf_Map_50000</t>
    <phoneticPr fontId="1" type="noConversion"/>
  </si>
  <si>
    <t>Move</t>
    <phoneticPr fontId="1" type="noConversion"/>
  </si>
  <si>
    <t>Move</t>
    <phoneticPr fontId="1" type="noConversion"/>
  </si>
  <si>
    <t>Reward</t>
    <phoneticPr fontId="1" type="noConversion"/>
  </si>
  <si>
    <t>배경음</t>
    <phoneticPr fontId="1" type="noConversion"/>
  </si>
  <si>
    <t>Sound</t>
    <phoneticPr fontId="1" type="noConversion"/>
  </si>
  <si>
    <t>BGM 이름</t>
    <phoneticPr fontId="1" type="noConversion"/>
  </si>
  <si>
    <t>Sound</t>
    <phoneticPr fontId="1" type="noConversion"/>
  </si>
  <si>
    <t>icon_map_0003</t>
    <phoneticPr fontId="1" type="noConversion"/>
  </si>
  <si>
    <t>icon_map_0004</t>
    <phoneticPr fontId="1" type="noConversion"/>
  </si>
  <si>
    <t>icon_map_0005</t>
    <phoneticPr fontId="1" type="noConversion"/>
  </si>
  <si>
    <t>img_map_0003</t>
    <phoneticPr fontId="1" type="noConversion"/>
  </si>
  <si>
    <t>img_map_0004</t>
    <phoneticPr fontId="1" type="noConversion"/>
  </si>
  <si>
    <t>튜토리얼 2</t>
  </si>
  <si>
    <t>튜토리얼 3</t>
  </si>
  <si>
    <t>튜토리얼 4</t>
  </si>
  <si>
    <t>튜토리얼 1</t>
  </si>
  <si>
    <t>드롭 배열 끝</t>
    <phoneticPr fontId="1" type="noConversion"/>
  </si>
  <si>
    <t>img_map_0001</t>
    <phoneticPr fontId="1" type="noConversion"/>
  </si>
  <si>
    <t>img_map_0005</t>
    <phoneticPr fontId="1" type="noConversion"/>
  </si>
  <si>
    <t>맵 난이도, 높을수록 어렵다. 튜토리얼은 99로 설정</t>
    <phoneticPr fontId="1" type="noConversion"/>
  </si>
  <si>
    <t>숲 속 마을 입구</t>
    <phoneticPr fontId="1" type="noConversion"/>
  </si>
  <si>
    <t>숲 속 마을 여관</t>
    <phoneticPr fontId="1" type="noConversion"/>
  </si>
  <si>
    <t>이사벨과 대화</t>
    <phoneticPr fontId="1" type="noConversion"/>
  </si>
  <si>
    <t>촌장님 집으로</t>
    <phoneticPr fontId="1" type="noConversion"/>
  </si>
  <si>
    <t>촌장님과 대화</t>
    <phoneticPr fontId="1" type="noConversion"/>
  </si>
  <si>
    <t>숲 속 마을 북쪽으로</t>
    <phoneticPr fontId="1" type="noConversion"/>
  </si>
  <si>
    <t>슬라임 처치</t>
    <phoneticPr fontId="1" type="noConversion"/>
  </si>
  <si>
    <t>Talk</t>
  </si>
  <si>
    <t>Talk</t>
    <phoneticPr fontId="1" type="noConversion"/>
  </si>
  <si>
    <t>SlowTalk</t>
  </si>
  <si>
    <t>SlowTalk</t>
    <phoneticPr fontId="1" type="noConversion"/>
  </si>
  <si>
    <t>Monster</t>
  </si>
  <si>
    <t>Monster</t>
    <phoneticPr fontId="1" type="noConversion"/>
  </si>
  <si>
    <t>map_s1_001</t>
    <phoneticPr fontId="1" type="noConversion"/>
  </si>
  <si>
    <t>map_s1_002</t>
  </si>
  <si>
    <t>map_s1_003</t>
  </si>
  <si>
    <t>map_s1_004</t>
  </si>
  <si>
    <t>필요 슬롯 개수</t>
    <phoneticPr fontId="1" type="noConversion"/>
  </si>
  <si>
    <t>int</t>
    <phoneticPr fontId="1" type="noConversion"/>
  </si>
  <si>
    <t>보상을 받기 위해 필요한 슬롯 개수</t>
    <phoneticPr fontId="1" type="noConversion"/>
  </si>
  <si>
    <t>Need_Slot_Num</t>
    <phoneticPr fontId="1" type="noConversion"/>
  </si>
  <si>
    <t>Need_Slot_Num</t>
    <phoneticPr fontId="1" type="noConversion"/>
  </si>
  <si>
    <t>icon_map_0006</t>
    <phoneticPr fontId="1" type="noConversion"/>
  </si>
  <si>
    <t>img_map_0006</t>
    <phoneticPr fontId="1" type="noConversion"/>
  </si>
  <si>
    <t>훈련소로 이동 1</t>
    <phoneticPr fontId="1" type="noConversion"/>
  </si>
  <si>
    <t>훈련소로 이동 2</t>
    <phoneticPr fontId="1" type="noConversion"/>
  </si>
  <si>
    <t>허수아비 처치</t>
    <phoneticPr fontId="1" type="noConversion"/>
  </si>
  <si>
    <t>pf_Map_50011</t>
  </si>
  <si>
    <t>pf_Map_50012</t>
  </si>
  <si>
    <t>pf_Map_50013</t>
  </si>
  <si>
    <t>pf_Map_50014</t>
  </si>
  <si>
    <t>상정가로 이동</t>
    <phoneticPr fontId="1" type="noConversion"/>
  </si>
  <si>
    <t>물약 상인과 대화</t>
  </si>
  <si>
    <t>무기 상인과 대화</t>
  </si>
  <si>
    <t>대장장이와 대화</t>
  </si>
  <si>
    <t>전직 기사와 대화</t>
  </si>
  <si>
    <t>은둔 기사와 대화</t>
    <phoneticPr fontId="1" type="noConversion"/>
  </si>
  <si>
    <t>훈련대장과 대화</t>
    <phoneticPr fontId="1" type="noConversion"/>
  </si>
  <si>
    <t>pf_Map_50015</t>
  </si>
  <si>
    <t>pf_Map_50016</t>
  </si>
  <si>
    <t>pf_Map_50017</t>
  </si>
  <si>
    <t>pf_Map_50018</t>
  </si>
  <si>
    <t>pf_Map_50019</t>
  </si>
  <si>
    <t>pf_Map_50020</t>
  </si>
  <si>
    <t>pf_Map_50021</t>
  </si>
  <si>
    <t>pf_Map_50022</t>
  </si>
  <si>
    <t>pf_Map_50023</t>
  </si>
  <si>
    <t>촌장님과 대화</t>
    <phoneticPr fontId="1" type="noConversion"/>
  </si>
  <si>
    <t>숨겨진 방으로 이동</t>
    <phoneticPr fontId="1" type="noConversion"/>
  </si>
  <si>
    <t>숨겨진 방</t>
    <phoneticPr fontId="1" type="noConversion"/>
  </si>
  <si>
    <t>pf_Map_50024</t>
  </si>
  <si>
    <t>pf_Map_50025</t>
  </si>
  <si>
    <t>pf_Map_50026</t>
  </si>
  <si>
    <t>pf_Map_50027</t>
  </si>
  <si>
    <t>pf_Map_50028</t>
  </si>
  <si>
    <t>pf_Map_50029</t>
  </si>
  <si>
    <t>Reward</t>
  </si>
  <si>
    <t>Reward</t>
    <phoneticPr fontId="1" type="noConversion"/>
  </si>
  <si>
    <t>img_map_0007</t>
    <phoneticPr fontId="1" type="noConversion"/>
  </si>
  <si>
    <t>img_map_0008</t>
    <phoneticPr fontId="1" type="noConversion"/>
  </si>
  <si>
    <t>img_map_0009</t>
    <phoneticPr fontId="1" type="noConversion"/>
  </si>
  <si>
    <t>img_map_0010</t>
    <phoneticPr fontId="1" type="noConversion"/>
  </si>
  <si>
    <t>icon_map_0007</t>
    <phoneticPr fontId="1" type="noConversion"/>
  </si>
  <si>
    <t>icon_map_0008</t>
    <phoneticPr fontId="1" type="noConversion"/>
  </si>
  <si>
    <t>icon_map_0009</t>
    <phoneticPr fontId="1" type="noConversion"/>
  </si>
  <si>
    <t>icon_map_0010</t>
    <phoneticPr fontId="1" type="noConversion"/>
  </si>
  <si>
    <t>동쪽 숲으로</t>
    <phoneticPr fontId="1" type="noConversion"/>
  </si>
  <si>
    <t>pf_Map_50030</t>
    <phoneticPr fontId="1" type="noConversion"/>
  </si>
  <si>
    <t>img_map_0012</t>
    <phoneticPr fontId="1" type="noConversion"/>
  </si>
  <si>
    <t>img_map_0011</t>
    <phoneticPr fontId="1" type="noConversion"/>
  </si>
  <si>
    <t>icon_map_0011</t>
    <phoneticPr fontId="1" type="noConversion"/>
  </si>
  <si>
    <t>icon_map_0012</t>
    <phoneticPr fontId="1" type="noConversion"/>
  </si>
  <si>
    <t>동쪽 숲 2</t>
  </si>
  <si>
    <t>pf_Map_50031</t>
  </si>
  <si>
    <t>img_map_0013</t>
  </si>
  <si>
    <t>icon_map_0013</t>
  </si>
  <si>
    <t>동쪽 숲 3</t>
  </si>
  <si>
    <t>pf_Map_50032</t>
  </si>
  <si>
    <t>img_map_0014</t>
  </si>
  <si>
    <t>icon_map_0014</t>
  </si>
  <si>
    <t>동쪽 숲 4</t>
  </si>
  <si>
    <t>pf_Map_50033</t>
  </si>
  <si>
    <t>img_map_0015</t>
  </si>
  <si>
    <t>icon_map_0015</t>
  </si>
  <si>
    <t>동쪽 숲 5</t>
  </si>
  <si>
    <t>pf_Map_50034</t>
  </si>
  <si>
    <t>img_map_0016</t>
  </si>
  <si>
    <t>icon_map_0016</t>
  </si>
  <si>
    <t>동쪽 숲 6</t>
  </si>
  <si>
    <t>pf_Map_50035</t>
  </si>
  <si>
    <t>동쪽 숲 7</t>
  </si>
  <si>
    <t>pf_Map_50036</t>
  </si>
  <si>
    <t>img_map_0018</t>
  </si>
  <si>
    <t>icon_map_0018</t>
  </si>
  <si>
    <t>pf_Map_50037</t>
  </si>
  <si>
    <t>img_map_0019</t>
  </si>
  <si>
    <t>icon_map_0019</t>
  </si>
  <si>
    <t>pf_Map_50038</t>
  </si>
  <si>
    <t>img_map_0020</t>
  </si>
  <si>
    <t>icon_map_0020</t>
  </si>
  <si>
    <t>icon_map_0017</t>
    <phoneticPr fontId="1" type="noConversion"/>
  </si>
  <si>
    <t>img_map_0017</t>
    <phoneticPr fontId="1" type="noConversion"/>
  </si>
  <si>
    <t>pf_Map_50039</t>
  </si>
  <si>
    <t>pf_Map_50040</t>
  </si>
  <si>
    <t>pf_Map_50041</t>
    <phoneticPr fontId="1" type="noConversion"/>
  </si>
  <si>
    <t>img_map_0018</t>
    <phoneticPr fontId="1" type="noConversion"/>
  </si>
  <si>
    <t>icon_map_0018</t>
    <phoneticPr fontId="1" type="noConversion"/>
  </si>
  <si>
    <t>drop_0008</t>
    <phoneticPr fontId="1" type="noConversion"/>
  </si>
  <si>
    <t>drop_0009</t>
    <phoneticPr fontId="1" type="noConversion"/>
  </si>
  <si>
    <t>drop_0008</t>
    <phoneticPr fontId="1" type="noConversion"/>
  </si>
  <si>
    <t>drop_0010</t>
  </si>
  <si>
    <t>drop_0011</t>
  </si>
  <si>
    <t>drop_0012</t>
    <phoneticPr fontId="1" type="noConversion"/>
  </si>
  <si>
    <t>drop_0013</t>
    <phoneticPr fontId="1" type="noConversion"/>
  </si>
  <si>
    <t>drop_0014</t>
    <phoneticPr fontId="1" type="noConversion"/>
  </si>
  <si>
    <t>Region_Id</t>
    <phoneticPr fontId="1" type="noConversion"/>
  </si>
  <si>
    <t>마을 동쪽으로</t>
  </si>
  <si>
    <t>경비병 엘런의 조언</t>
  </si>
  <si>
    <t>동쪽 숲 1</t>
  </si>
  <si>
    <t>광산 마을 입구</t>
  </si>
  <si>
    <t>죽은 자의 동굴 입구</t>
  </si>
  <si>
    <t>비밀의 동굴로</t>
  </si>
  <si>
    <t>동쪽 숲 보물방</t>
  </si>
  <si>
    <t>경비병 로빈과 대화</t>
  </si>
  <si>
    <t>지역</t>
    <phoneticPr fontId="1" type="noConversion"/>
  </si>
  <si>
    <t>Region_Id</t>
    <phoneticPr fontId="1" type="noConversion"/>
  </si>
  <si>
    <t>지역 아이디</t>
    <phoneticPr fontId="1" type="noConversion"/>
  </si>
  <si>
    <t>로빈의 고민</t>
    <phoneticPr fontId="1" type="noConversion"/>
  </si>
  <si>
    <t>회색 늑대 처치</t>
    <phoneticPr fontId="1" type="noConversion"/>
  </si>
  <si>
    <t>로빈의 선물</t>
    <phoneticPr fontId="1" type="noConversion"/>
  </si>
  <si>
    <t>pf_Map_50042</t>
  </si>
  <si>
    <t>pf_Map_50043</t>
  </si>
  <si>
    <t>pf_Map_50044</t>
  </si>
  <si>
    <t>map_s2_001</t>
    <phoneticPr fontId="1" type="noConversion"/>
  </si>
  <si>
    <t>map_s2_002</t>
  </si>
  <si>
    <t>map_s2_003</t>
  </si>
  <si>
    <t>map_s2_004</t>
  </si>
  <si>
    <t>map_s2_005</t>
  </si>
  <si>
    <t>map_s2_006</t>
  </si>
  <si>
    <t>map_s2_007</t>
  </si>
  <si>
    <t>map_s2_008</t>
  </si>
  <si>
    <t>map_s2_009</t>
  </si>
  <si>
    <t>map_s2_010</t>
  </si>
  <si>
    <t>map_s2_011</t>
  </si>
  <si>
    <t>map_s2_012</t>
  </si>
  <si>
    <t>map_s2_013</t>
  </si>
  <si>
    <t>map_s2_014</t>
  </si>
  <si>
    <t>map_s2_015</t>
  </si>
  <si>
    <t>map_s2_016</t>
  </si>
  <si>
    <t>map_s2_017</t>
  </si>
  <si>
    <t>map_s2_018</t>
  </si>
  <si>
    <t>map_s2_019</t>
  </si>
  <si>
    <t>map_s2_020</t>
  </si>
  <si>
    <t>map_s2_021</t>
  </si>
  <si>
    <t>map_s2_022</t>
  </si>
  <si>
    <t>map_s2_023</t>
  </si>
  <si>
    <t>map_s2_024</t>
  </si>
  <si>
    <t>map_s2_025</t>
  </si>
  <si>
    <t>map_s2_026</t>
  </si>
  <si>
    <t>map_s3_001</t>
    <phoneticPr fontId="1" type="noConversion"/>
  </si>
  <si>
    <t>map_s3_002</t>
  </si>
  <si>
    <t>map_s3_003</t>
  </si>
  <si>
    <t>map_s3_004</t>
  </si>
  <si>
    <t>map_s3_005</t>
  </si>
  <si>
    <t>map_s3_006</t>
  </si>
  <si>
    <t>map_s3_007</t>
  </si>
  <si>
    <t>map_s3_008</t>
  </si>
  <si>
    <t>map_s3_009</t>
  </si>
  <si>
    <t>map_s3_010</t>
  </si>
  <si>
    <t>map_s3_011</t>
  </si>
  <si>
    <t>map_s3_012</t>
  </si>
  <si>
    <t>map_s3_013</t>
  </si>
  <si>
    <t>map_s3_014</t>
  </si>
  <si>
    <t>map_s3_015</t>
  </si>
  <si>
    <t>bgm_11</t>
    <phoneticPr fontId="1" type="noConversion"/>
  </si>
  <si>
    <t>bgm_21</t>
    <phoneticPr fontId="1" type="noConversion"/>
  </si>
  <si>
    <t>bgm_22</t>
  </si>
  <si>
    <t>bgm_22</t>
    <phoneticPr fontId="1" type="noConversion"/>
  </si>
  <si>
    <t>bgm_23</t>
    <phoneticPr fontId="1" type="noConversion"/>
  </si>
  <si>
    <t>bgm_31</t>
    <phoneticPr fontId="1" type="noConversion"/>
  </si>
  <si>
    <t>bgm_32</t>
    <phoneticPr fontId="1" type="noConversion"/>
  </si>
  <si>
    <t>bgm_33</t>
    <phoneticPr fontId="1" type="noConversion"/>
  </si>
  <si>
    <t>bgm_02</t>
    <phoneticPr fontId="1" type="noConversion"/>
  </si>
  <si>
    <t>bgm_34</t>
    <phoneticPr fontId="1" type="noConversion"/>
  </si>
  <si>
    <t>개발자의 방으로</t>
    <phoneticPr fontId="1" type="noConversion"/>
  </si>
  <si>
    <t>map_s1_005</t>
    <phoneticPr fontId="1" type="noConversion"/>
  </si>
  <si>
    <t>pf_Map_50045</t>
    <phoneticPr fontId="1" type="noConversion"/>
  </si>
  <si>
    <t>개발자와 대화 1</t>
    <phoneticPr fontId="1" type="noConversion"/>
  </si>
  <si>
    <t>개발자와 대화 2</t>
    <phoneticPr fontId="1" type="noConversion"/>
  </si>
  <si>
    <t>시험 2</t>
    <phoneticPr fontId="1" type="noConversion"/>
  </si>
  <si>
    <t>시험 3</t>
    <phoneticPr fontId="1" type="noConversion"/>
  </si>
  <si>
    <t>개발자와 대화 3</t>
    <phoneticPr fontId="1" type="noConversion"/>
  </si>
  <si>
    <t>map_s1_006</t>
  </si>
  <si>
    <t>map_s1_007</t>
  </si>
  <si>
    <t>map_s1_008</t>
  </si>
  <si>
    <t>map_s1_009</t>
  </si>
  <si>
    <t>map_s1_010</t>
  </si>
  <si>
    <t>map_s1_011</t>
  </si>
  <si>
    <t>pf_Map_50046</t>
  </si>
  <si>
    <t>pf_Map_50047</t>
  </si>
  <si>
    <t>pf_Map_50048</t>
  </si>
  <si>
    <t>pf_Map_50049</t>
  </si>
  <si>
    <t>pf_Map_50050</t>
  </si>
  <si>
    <t>pf_Map_50051</t>
  </si>
  <si>
    <t>img_map_0021</t>
    <phoneticPr fontId="1" type="noConversion"/>
  </si>
  <si>
    <t>icon_map_0021</t>
    <phoneticPr fontId="1" type="noConversion"/>
  </si>
  <si>
    <t>drop_0028</t>
    <phoneticPr fontId="1" type="noConversion"/>
  </si>
  <si>
    <t>개발자와 대화 4</t>
    <phoneticPr fontId="1" type="noConversion"/>
  </si>
  <si>
    <t>map_s1_012</t>
  </si>
  <si>
    <t>pf_Map_50052</t>
  </si>
  <si>
    <t>bgm_12</t>
    <phoneticPr fontId="1" type="noConversion"/>
  </si>
  <si>
    <t>bgm_13</t>
  </si>
  <si>
    <t>bgm_14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</si>
</sst>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>
      <alignment vertical="center"/>
    </xf>
    <xf numFmtId="0" fontId="2" fillId="2" borderId="15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5" fillId="0" borderId="0" xfId="0" applyFont="1">
      <alignment vertical="center"/>
    </xf>
    <xf numFmtId="0" fontId="5" fillId="0" borderId="5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24" xfId="0" applyFont="1" applyBorder="1">
      <alignment vertical="center"/>
    </xf>
    <xf numFmtId="0" fontId="5" fillId="0" borderId="22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topLeftCell="B1" workbookViewId="0">
      <selection activeCell="B3" sqref="B3"/>
    </sheetView>
  </sheetViews>
  <sheetFormatPr defaultRowHeight="16.5" x14ac:dyDescent="0.3"/>
  <cols>
    <col min="2" max="2" width="15.875" customWidth="1"/>
    <col min="3" max="3" width="10.75" customWidth="1"/>
    <col min="4" max="4" width="80" customWidth="1"/>
  </cols>
  <sheetData>
    <row r="1" spans="1:20" x14ac:dyDescent="0.3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8">
        <v>42434</v>
      </c>
      <c r="C2" s="10" t="s">
        <v>29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>
        <v>2</v>
      </c>
      <c r="B3" s="8"/>
      <c r="C3" s="10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>
        <v>3</v>
      </c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">
        <v>4</v>
      </c>
      <c r="B5" s="8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>
        <v>5</v>
      </c>
      <c r="B6" s="8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8"/>
      <c r="C7" s="10"/>
      <c r="D7" s="2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8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 x14ac:dyDescent="0.35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58"/>
  <sheetViews>
    <sheetView workbookViewId="0">
      <selection activeCell="D30" sqref="D30"/>
    </sheetView>
  </sheetViews>
  <sheetFormatPr defaultRowHeight="16.5" x14ac:dyDescent="0.3"/>
  <cols>
    <col min="1" max="1" width="4.75" style="24" customWidth="1"/>
    <col min="2" max="2" width="16" style="24" bestFit="1" customWidth="1"/>
    <col min="3" max="3" width="17.25" style="24" bestFit="1" customWidth="1"/>
    <col min="4" max="4" width="9" style="24"/>
    <col min="5" max="5" width="17.875" style="24" bestFit="1" customWidth="1"/>
    <col min="6" max="7" width="9" style="24"/>
    <col min="8" max="8" width="73.875" bestFit="1" customWidth="1"/>
  </cols>
  <sheetData>
    <row r="1" spans="1:16" x14ac:dyDescent="0.3">
      <c r="A1" s="17" t="s">
        <v>4</v>
      </c>
      <c r="B1" s="18" t="s">
        <v>10</v>
      </c>
      <c r="C1" s="18" t="s">
        <v>9</v>
      </c>
      <c r="D1" s="18" t="s">
        <v>5</v>
      </c>
      <c r="E1" s="18" t="s">
        <v>8</v>
      </c>
      <c r="F1" s="18" t="s">
        <v>6</v>
      </c>
      <c r="G1" s="18" t="s">
        <v>7</v>
      </c>
      <c r="H1" s="12" t="s">
        <v>11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19">
        <v>1</v>
      </c>
      <c r="B2" s="20" t="s">
        <v>25</v>
      </c>
      <c r="C2" s="20" t="s">
        <v>16</v>
      </c>
      <c r="D2" s="20" t="s">
        <v>13</v>
      </c>
      <c r="E2" s="20">
        <v>1</v>
      </c>
      <c r="F2" s="20">
        <v>1</v>
      </c>
      <c r="G2" s="20">
        <v>99999999</v>
      </c>
      <c r="H2" s="6" t="s">
        <v>42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 s="19">
        <v>2</v>
      </c>
      <c r="B3" s="20" t="s">
        <v>21</v>
      </c>
      <c r="C3" s="20" t="s">
        <v>22</v>
      </c>
      <c r="D3" s="20" t="s">
        <v>23</v>
      </c>
      <c r="E3" s="20" t="s">
        <v>20</v>
      </c>
      <c r="F3" s="20">
        <v>0</v>
      </c>
      <c r="G3" s="20">
        <v>0</v>
      </c>
      <c r="H3" s="6" t="s">
        <v>24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 s="19">
        <v>3</v>
      </c>
      <c r="B4" s="20" t="s">
        <v>26</v>
      </c>
      <c r="C4" s="20" t="s">
        <v>17</v>
      </c>
      <c r="D4" s="20" t="s">
        <v>14</v>
      </c>
      <c r="E4" s="20" t="s">
        <v>15</v>
      </c>
      <c r="F4" s="20">
        <v>0</v>
      </c>
      <c r="G4" s="20">
        <v>32</v>
      </c>
      <c r="H4" s="6" t="s">
        <v>31</v>
      </c>
      <c r="I4" s="1"/>
      <c r="J4" s="1"/>
      <c r="K4" s="1"/>
      <c r="L4" s="1"/>
      <c r="M4" s="1"/>
      <c r="N4" s="1"/>
      <c r="O4" s="1"/>
      <c r="P4" s="1"/>
    </row>
    <row r="5" spans="1:16" x14ac:dyDescent="0.3">
      <c r="A5" s="19">
        <v>4</v>
      </c>
      <c r="B5" s="20" t="s">
        <v>27</v>
      </c>
      <c r="C5" s="20" t="s">
        <v>18</v>
      </c>
      <c r="D5" s="20" t="s">
        <v>14</v>
      </c>
      <c r="E5" s="20" t="s">
        <v>15</v>
      </c>
      <c r="F5" s="20">
        <v>0</v>
      </c>
      <c r="G5" s="20">
        <v>32</v>
      </c>
      <c r="H5" s="6" t="s">
        <v>32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 s="19">
        <v>5</v>
      </c>
      <c r="B6" s="20" t="s">
        <v>28</v>
      </c>
      <c r="C6" s="20" t="s">
        <v>19</v>
      </c>
      <c r="D6" s="20" t="s">
        <v>14</v>
      </c>
      <c r="E6" s="20" t="s">
        <v>15</v>
      </c>
      <c r="F6" s="20">
        <v>0</v>
      </c>
      <c r="G6" s="20">
        <v>32</v>
      </c>
      <c r="H6" s="6" t="s">
        <v>33</v>
      </c>
      <c r="I6" s="1"/>
      <c r="J6" s="1"/>
      <c r="K6" s="1"/>
      <c r="L6" s="1"/>
      <c r="M6" s="1"/>
      <c r="N6" s="1"/>
      <c r="O6" s="1"/>
      <c r="P6" s="1"/>
    </row>
    <row r="7" spans="1:16" x14ac:dyDescent="0.3">
      <c r="A7" s="19">
        <v>6</v>
      </c>
      <c r="B7" s="20" t="s">
        <v>247</v>
      </c>
      <c r="C7" s="20" t="s">
        <v>248</v>
      </c>
      <c r="D7" s="25" t="s">
        <v>13</v>
      </c>
      <c r="E7" s="25">
        <v>1</v>
      </c>
      <c r="F7" s="25">
        <v>1</v>
      </c>
      <c r="G7" s="25">
        <v>99</v>
      </c>
      <c r="H7" s="6" t="s">
        <v>249</v>
      </c>
      <c r="I7" s="1"/>
      <c r="J7" s="1"/>
      <c r="K7" s="1"/>
      <c r="L7" s="1"/>
      <c r="M7" s="1"/>
      <c r="N7" s="1"/>
      <c r="O7" s="1"/>
      <c r="P7" s="1"/>
    </row>
    <row r="8" spans="1:16" x14ac:dyDescent="0.3">
      <c r="A8" s="19">
        <v>7</v>
      </c>
      <c r="B8" s="20" t="s">
        <v>43</v>
      </c>
      <c r="C8" s="20" t="s">
        <v>44</v>
      </c>
      <c r="D8" s="25" t="s">
        <v>13</v>
      </c>
      <c r="E8" s="25">
        <v>1</v>
      </c>
      <c r="F8" s="25">
        <v>1</v>
      </c>
      <c r="G8" s="25">
        <v>99</v>
      </c>
      <c r="H8" s="6" t="s">
        <v>122</v>
      </c>
      <c r="I8" s="1"/>
      <c r="J8" s="1"/>
      <c r="K8" s="1"/>
      <c r="L8" s="1"/>
      <c r="M8" s="1"/>
      <c r="N8" s="1"/>
      <c r="O8" s="1"/>
      <c r="P8" s="1"/>
    </row>
    <row r="9" spans="1:16" x14ac:dyDescent="0.3">
      <c r="A9" s="19">
        <v>8</v>
      </c>
      <c r="B9" s="20" t="s">
        <v>30</v>
      </c>
      <c r="C9" s="20" t="s">
        <v>5</v>
      </c>
      <c r="D9" s="20" t="s">
        <v>14</v>
      </c>
      <c r="E9" s="20" t="s">
        <v>15</v>
      </c>
      <c r="F9" s="20">
        <v>0</v>
      </c>
      <c r="G9" s="20">
        <v>2</v>
      </c>
      <c r="H9" s="27" t="s">
        <v>60</v>
      </c>
      <c r="I9" s="1"/>
      <c r="J9" s="1"/>
      <c r="K9" s="1"/>
      <c r="L9" s="1"/>
      <c r="M9" s="1"/>
      <c r="N9" s="1"/>
      <c r="O9" s="1"/>
      <c r="P9" s="1"/>
    </row>
    <row r="10" spans="1:16" x14ac:dyDescent="0.3">
      <c r="A10" s="19">
        <v>9</v>
      </c>
      <c r="B10" s="25" t="s">
        <v>68</v>
      </c>
      <c r="C10" s="25" t="s">
        <v>85</v>
      </c>
      <c r="D10" s="25" t="s">
        <v>70</v>
      </c>
      <c r="E10" s="25">
        <v>0</v>
      </c>
      <c r="F10" s="25">
        <v>0</v>
      </c>
      <c r="G10" s="25">
        <v>10</v>
      </c>
      <c r="H10" s="27" t="s">
        <v>72</v>
      </c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9">
        <v>10</v>
      </c>
      <c r="B11" s="25" t="s">
        <v>69</v>
      </c>
      <c r="C11" s="25" t="s">
        <v>81</v>
      </c>
      <c r="D11" s="20" t="s">
        <v>71</v>
      </c>
      <c r="E11" s="20">
        <v>0</v>
      </c>
      <c r="F11" s="20">
        <v>0</v>
      </c>
      <c r="G11" s="20">
        <v>10</v>
      </c>
      <c r="H11" s="27" t="s">
        <v>73</v>
      </c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9">
        <v>11</v>
      </c>
      <c r="B12" s="25" t="s">
        <v>46</v>
      </c>
      <c r="C12" s="25" t="s">
        <v>47</v>
      </c>
      <c r="D12" s="20" t="s">
        <v>13</v>
      </c>
      <c r="E12" s="20">
        <v>1</v>
      </c>
      <c r="F12" s="20">
        <v>1</v>
      </c>
      <c r="G12" s="20">
        <v>99999999</v>
      </c>
      <c r="H12" s="26" t="s">
        <v>67</v>
      </c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9">
        <v>12</v>
      </c>
      <c r="B13" s="25" t="s">
        <v>61</v>
      </c>
      <c r="C13" s="25" t="s">
        <v>62</v>
      </c>
      <c r="D13" s="20" t="s">
        <v>14</v>
      </c>
      <c r="E13" s="20" t="s">
        <v>15</v>
      </c>
      <c r="F13" s="20">
        <v>0</v>
      </c>
      <c r="G13" s="20">
        <v>32</v>
      </c>
      <c r="H13" s="26" t="s">
        <v>63</v>
      </c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9">
        <v>13</v>
      </c>
      <c r="B14" s="25" t="s">
        <v>64</v>
      </c>
      <c r="C14" s="25" t="s">
        <v>65</v>
      </c>
      <c r="D14" s="20" t="s">
        <v>14</v>
      </c>
      <c r="E14" s="20" t="s">
        <v>15</v>
      </c>
      <c r="F14" s="20">
        <v>0</v>
      </c>
      <c r="G14" s="20">
        <v>32</v>
      </c>
      <c r="H14" s="26" t="s">
        <v>66</v>
      </c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9">
        <v>14</v>
      </c>
      <c r="B15" s="25" t="s">
        <v>106</v>
      </c>
      <c r="C15" s="25" t="s">
        <v>107</v>
      </c>
      <c r="D15" s="20" t="s">
        <v>14</v>
      </c>
      <c r="E15" s="20" t="s">
        <v>15</v>
      </c>
      <c r="F15" s="20">
        <v>0</v>
      </c>
      <c r="G15" s="20">
        <v>32</v>
      </c>
      <c r="H15" s="26" t="s">
        <v>108</v>
      </c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9">
        <v>15</v>
      </c>
      <c r="B16" s="25" t="s">
        <v>58</v>
      </c>
      <c r="C16" s="25" t="s">
        <v>57</v>
      </c>
      <c r="D16" s="20" t="s">
        <v>14</v>
      </c>
      <c r="E16" s="20" t="s">
        <v>15</v>
      </c>
      <c r="F16" s="20">
        <v>0</v>
      </c>
      <c r="G16" s="20">
        <v>32</v>
      </c>
      <c r="H16" s="26" t="s">
        <v>59</v>
      </c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9">
        <v>16</v>
      </c>
      <c r="B17" s="25" t="s">
        <v>140</v>
      </c>
      <c r="C17" s="25" t="s">
        <v>143</v>
      </c>
      <c r="D17" s="20" t="s">
        <v>141</v>
      </c>
      <c r="E17" s="20">
        <v>0</v>
      </c>
      <c r="F17" s="20">
        <v>0</v>
      </c>
      <c r="G17" s="20">
        <v>100</v>
      </c>
      <c r="H17" s="26" t="s">
        <v>142</v>
      </c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9">
        <v>17</v>
      </c>
      <c r="B18" s="25" t="s">
        <v>74</v>
      </c>
      <c r="C18" s="25" t="s">
        <v>105</v>
      </c>
      <c r="D18" s="20" t="s">
        <v>13</v>
      </c>
      <c r="E18" s="20">
        <v>0</v>
      </c>
      <c r="F18" s="20">
        <v>0</v>
      </c>
      <c r="G18" s="20">
        <v>99999999</v>
      </c>
      <c r="H18" s="26" t="s">
        <v>76</v>
      </c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9">
        <v>18</v>
      </c>
      <c r="B19" s="25" t="s">
        <v>48</v>
      </c>
      <c r="C19" s="25" t="s">
        <v>49</v>
      </c>
      <c r="D19" s="25" t="s">
        <v>34</v>
      </c>
      <c r="E19" s="25">
        <v>3</v>
      </c>
      <c r="F19" s="25">
        <v>1</v>
      </c>
      <c r="G19" s="20">
        <v>3</v>
      </c>
      <c r="H19" s="26" t="s">
        <v>79</v>
      </c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9">
        <v>19</v>
      </c>
      <c r="B20" s="25" t="s">
        <v>50</v>
      </c>
      <c r="C20" s="25" t="s">
        <v>51</v>
      </c>
      <c r="D20" s="25" t="s">
        <v>37</v>
      </c>
      <c r="E20" s="25" t="s">
        <v>38</v>
      </c>
      <c r="F20" s="25">
        <v>0</v>
      </c>
      <c r="G20" s="20">
        <v>32</v>
      </c>
      <c r="H20" s="26" t="s">
        <v>52</v>
      </c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9">
        <v>20</v>
      </c>
      <c r="B21" s="25" t="s">
        <v>119</v>
      </c>
      <c r="C21" s="25" t="s">
        <v>39</v>
      </c>
      <c r="D21" s="25" t="s">
        <v>35</v>
      </c>
      <c r="E21" s="25" t="s">
        <v>36</v>
      </c>
      <c r="F21" s="25">
        <v>0</v>
      </c>
      <c r="G21" s="20">
        <v>0</v>
      </c>
      <c r="H21" s="26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9">
        <v>21</v>
      </c>
      <c r="B22" s="25" t="s">
        <v>50</v>
      </c>
      <c r="C22" s="25" t="s">
        <v>82</v>
      </c>
      <c r="D22" s="25" t="s">
        <v>14</v>
      </c>
      <c r="E22" s="25" t="s">
        <v>15</v>
      </c>
      <c r="F22" s="25">
        <v>0</v>
      </c>
      <c r="G22" s="20">
        <v>32</v>
      </c>
      <c r="H22" s="26" t="s">
        <v>77</v>
      </c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9">
        <v>22</v>
      </c>
      <c r="B23" s="25" t="s">
        <v>50</v>
      </c>
      <c r="C23" s="25" t="s">
        <v>84</v>
      </c>
      <c r="D23" s="25" t="s">
        <v>14</v>
      </c>
      <c r="E23" s="25" t="s">
        <v>15</v>
      </c>
      <c r="F23" s="25">
        <v>0</v>
      </c>
      <c r="G23" s="20">
        <v>32</v>
      </c>
      <c r="H23" s="26" t="s">
        <v>78</v>
      </c>
      <c r="I23" s="1"/>
      <c r="J23" s="1"/>
      <c r="K23" s="1"/>
      <c r="L23" s="1"/>
      <c r="M23" s="1"/>
      <c r="N23" s="1"/>
      <c r="O23" s="1"/>
      <c r="P23" s="1"/>
    </row>
    <row r="24" spans="1:16" ht="17.25" thickBot="1" x14ac:dyDescent="0.35">
      <c r="A24" s="21"/>
      <c r="B24" s="22"/>
      <c r="C24" s="22"/>
      <c r="D24" s="22"/>
      <c r="E24" s="22"/>
      <c r="F24" s="22"/>
      <c r="G24" s="22"/>
      <c r="H24" s="7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23"/>
      <c r="B25" s="23"/>
      <c r="C25" s="23"/>
      <c r="D25" s="23"/>
      <c r="E25" s="23"/>
      <c r="F25" s="23"/>
      <c r="G25" s="23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23"/>
      <c r="B26" s="23"/>
      <c r="C26" s="23"/>
      <c r="D26" s="23"/>
      <c r="E26" s="23"/>
      <c r="F26" s="23"/>
      <c r="G26" s="23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23"/>
      <c r="B27" s="23"/>
      <c r="C27" s="23"/>
      <c r="D27" s="23"/>
      <c r="E27" s="23"/>
      <c r="F27" s="23"/>
      <c r="G27" s="23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23"/>
      <c r="B28" s="23"/>
      <c r="C28" s="23"/>
      <c r="D28" s="23"/>
      <c r="E28" s="23"/>
      <c r="F28" s="23"/>
      <c r="G28" s="23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23"/>
      <c r="B29" s="23"/>
      <c r="C29" s="23"/>
      <c r="D29" s="23"/>
      <c r="E29" s="23"/>
      <c r="F29" s="23"/>
      <c r="G29" s="23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23"/>
      <c r="B30" s="23"/>
      <c r="C30" s="23"/>
      <c r="D30" s="23"/>
      <c r="E30" s="23"/>
      <c r="F30" s="23"/>
      <c r="G30" s="23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23"/>
      <c r="B31" s="23"/>
      <c r="C31" s="23"/>
      <c r="D31" s="23"/>
      <c r="E31" s="23"/>
      <c r="F31" s="23"/>
      <c r="G31" s="23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23"/>
      <c r="B32" s="23"/>
      <c r="C32" s="23"/>
      <c r="D32" s="23"/>
      <c r="E32" s="23"/>
      <c r="F32" s="23"/>
      <c r="G32" s="23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23"/>
      <c r="B33" s="23"/>
      <c r="C33" s="23"/>
      <c r="D33" s="23"/>
      <c r="E33" s="23"/>
      <c r="F33" s="23"/>
      <c r="G33" s="23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23"/>
      <c r="B34" s="23"/>
      <c r="C34" s="23"/>
      <c r="D34" s="23"/>
      <c r="E34" s="23"/>
      <c r="F34" s="23"/>
      <c r="G34" s="23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23"/>
      <c r="B35" s="23"/>
      <c r="C35" s="23"/>
      <c r="D35" s="23"/>
      <c r="E35" s="23"/>
      <c r="F35" s="23"/>
      <c r="G35" s="23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23"/>
      <c r="B36" s="23"/>
      <c r="C36" s="23"/>
      <c r="D36" s="23"/>
      <c r="E36" s="23"/>
      <c r="F36" s="23"/>
      <c r="G36" s="23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23"/>
      <c r="B37" s="23"/>
      <c r="C37" s="23"/>
      <c r="D37" s="23"/>
      <c r="E37" s="23"/>
      <c r="F37" s="23"/>
      <c r="G37" s="23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23"/>
      <c r="B38" s="23"/>
      <c r="C38" s="23"/>
      <c r="D38" s="23"/>
      <c r="E38" s="23"/>
      <c r="F38" s="23"/>
      <c r="G38" s="23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23"/>
      <c r="B39" s="23"/>
      <c r="C39" s="23"/>
      <c r="D39" s="23"/>
      <c r="E39" s="23"/>
      <c r="F39" s="23"/>
      <c r="G39" s="23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23"/>
      <c r="B40" s="23"/>
      <c r="C40" s="23"/>
      <c r="D40" s="23"/>
      <c r="E40" s="23"/>
      <c r="F40" s="23"/>
      <c r="G40" s="23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23"/>
      <c r="B41" s="23"/>
      <c r="C41" s="23"/>
      <c r="D41" s="23"/>
      <c r="E41" s="23"/>
      <c r="F41" s="23"/>
      <c r="G41" s="23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23"/>
      <c r="B42" s="23"/>
      <c r="C42" s="23"/>
      <c r="D42" s="23"/>
      <c r="E42" s="23"/>
      <c r="F42" s="23"/>
      <c r="G42" s="23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23"/>
      <c r="B43" s="23"/>
      <c r="C43" s="23"/>
      <c r="D43" s="23"/>
      <c r="E43" s="23"/>
      <c r="F43" s="23"/>
      <c r="G43" s="23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23"/>
      <c r="B44" s="23"/>
      <c r="C44" s="23"/>
      <c r="D44" s="23"/>
      <c r="E44" s="23"/>
      <c r="F44" s="23"/>
      <c r="G44" s="23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23"/>
      <c r="B45" s="23"/>
      <c r="C45" s="23"/>
      <c r="D45" s="23"/>
      <c r="E45" s="23"/>
      <c r="F45" s="23"/>
      <c r="G45" s="23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3"/>
      <c r="B46" s="23"/>
      <c r="C46" s="23"/>
      <c r="D46" s="23"/>
      <c r="E46" s="23"/>
      <c r="F46" s="23"/>
      <c r="G46" s="23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23"/>
      <c r="B47" s="23"/>
      <c r="C47" s="23"/>
      <c r="D47" s="23"/>
      <c r="E47" s="23"/>
      <c r="F47" s="23"/>
      <c r="G47" s="23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23"/>
      <c r="B48" s="23"/>
      <c r="C48" s="23"/>
      <c r="D48" s="23"/>
      <c r="E48" s="23"/>
      <c r="F48" s="23"/>
      <c r="G48" s="23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23"/>
      <c r="B49" s="23"/>
      <c r="C49" s="23"/>
      <c r="D49" s="23"/>
      <c r="E49" s="23"/>
      <c r="F49" s="23"/>
      <c r="G49" s="23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23"/>
      <c r="B50" s="23"/>
      <c r="C50" s="23"/>
      <c r="D50" s="23"/>
      <c r="E50" s="23"/>
      <c r="F50" s="23"/>
      <c r="G50" s="23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23"/>
      <c r="B51" s="23"/>
      <c r="C51" s="23"/>
      <c r="D51" s="23"/>
      <c r="E51" s="23"/>
      <c r="F51" s="23"/>
      <c r="G51" s="23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23"/>
      <c r="B52" s="23"/>
      <c r="C52" s="23"/>
      <c r="D52" s="23"/>
      <c r="E52" s="23"/>
      <c r="F52" s="23"/>
      <c r="G52" s="23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23"/>
      <c r="B53" s="23"/>
      <c r="C53" s="23"/>
      <c r="D53" s="23"/>
      <c r="E53" s="23"/>
      <c r="F53" s="23"/>
      <c r="G53" s="23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23"/>
      <c r="B54" s="23"/>
      <c r="C54" s="23"/>
      <c r="D54" s="23"/>
      <c r="E54" s="23"/>
      <c r="F54" s="23"/>
      <c r="G54" s="23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23"/>
      <c r="B55" s="23"/>
      <c r="C55" s="23"/>
      <c r="D55" s="23"/>
      <c r="E55" s="23"/>
      <c r="F55" s="23"/>
      <c r="G55" s="23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23"/>
      <c r="B56" s="23"/>
      <c r="C56" s="23"/>
      <c r="D56" s="23"/>
      <c r="E56" s="23"/>
      <c r="F56" s="23"/>
      <c r="G56" s="23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23"/>
      <c r="B57" s="23"/>
      <c r="C57" s="23"/>
      <c r="D57" s="23"/>
      <c r="E57" s="23"/>
      <c r="F57" s="23"/>
      <c r="G57" s="23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23"/>
      <c r="B58" s="23"/>
      <c r="C58" s="23"/>
      <c r="D58" s="23"/>
      <c r="E58" s="23"/>
      <c r="F58" s="23"/>
      <c r="G58" s="23"/>
      <c r="H58" s="1"/>
      <c r="I58" s="1"/>
      <c r="J58" s="1"/>
      <c r="K58" s="1"/>
      <c r="L58" s="1"/>
      <c r="M58" s="1"/>
      <c r="N58" s="1"/>
      <c r="O58" s="1"/>
      <c r="P5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54"/>
  <sheetViews>
    <sheetView tabSelected="1" topLeftCell="K1" workbookViewId="0">
      <pane ySplit="1" topLeftCell="A2" activePane="bottomLeft" state="frozen"/>
      <selection activeCell="E1" sqref="E1"/>
      <selection pane="bottomLeft" activeCell="N55" sqref="N55"/>
    </sheetView>
  </sheetViews>
  <sheetFormatPr defaultRowHeight="16.5" x14ac:dyDescent="0.3"/>
  <cols>
    <col min="1" max="1" width="6.5" style="36" bestFit="1" customWidth="1"/>
    <col min="2" max="2" width="19.5" style="36" bestFit="1" customWidth="1"/>
    <col min="3" max="3" width="20.75" style="37" customWidth="1"/>
    <col min="4" max="5" width="27.625" style="36" customWidth="1"/>
    <col min="6" max="6" width="9.25" style="36" customWidth="1"/>
    <col min="7" max="7" width="6.125" style="36" customWidth="1"/>
    <col min="8" max="8" width="10" style="36" customWidth="1"/>
    <col min="9" max="10" width="6.125" style="36" customWidth="1"/>
    <col min="11" max="11" width="9.25" style="36" customWidth="1"/>
    <col min="12" max="12" width="15.75" style="36" customWidth="1"/>
    <col min="13" max="13" width="14.375" style="36" customWidth="1"/>
    <col min="14" max="14" width="9.25" style="36" customWidth="1"/>
    <col min="15" max="16" width="18.375" style="36" customWidth="1"/>
    <col min="17" max="17" width="6.125" style="36" bestFit="1" customWidth="1"/>
    <col min="18" max="22" width="18.375" style="36" customWidth="1"/>
    <col min="23" max="16384" width="9" style="33"/>
  </cols>
  <sheetData>
    <row r="1" spans="1:22" x14ac:dyDescent="0.3">
      <c r="A1" s="29" t="s">
        <v>16</v>
      </c>
      <c r="B1" s="29" t="s">
        <v>22</v>
      </c>
      <c r="C1" s="30" t="s">
        <v>9</v>
      </c>
      <c r="D1" s="29" t="s">
        <v>18</v>
      </c>
      <c r="E1" s="29" t="s">
        <v>19</v>
      </c>
      <c r="F1" s="32" t="s">
        <v>238</v>
      </c>
      <c r="G1" s="31" t="s">
        <v>40</v>
      </c>
      <c r="H1" s="29" t="s">
        <v>5</v>
      </c>
      <c r="I1" s="31" t="s">
        <v>80</v>
      </c>
      <c r="J1" s="31" t="s">
        <v>81</v>
      </c>
      <c r="K1" s="32" t="s">
        <v>53</v>
      </c>
      <c r="L1" s="32" t="s">
        <v>86</v>
      </c>
      <c r="M1" s="32" t="s">
        <v>87</v>
      </c>
      <c r="N1" s="32" t="s">
        <v>109</v>
      </c>
      <c r="O1" s="32" t="s">
        <v>57</v>
      </c>
      <c r="P1" s="32" t="s">
        <v>144</v>
      </c>
      <c r="Q1" s="31" t="s">
        <v>75</v>
      </c>
      <c r="R1" s="32" t="s">
        <v>54</v>
      </c>
      <c r="S1" s="32" t="s">
        <v>55</v>
      </c>
      <c r="T1" s="32" t="s">
        <v>56</v>
      </c>
      <c r="U1" s="32" t="s">
        <v>88</v>
      </c>
      <c r="V1" s="32" t="s">
        <v>83</v>
      </c>
    </row>
    <row r="2" spans="1:22" x14ac:dyDescent="0.3">
      <c r="A2" s="34">
        <v>50000</v>
      </c>
      <c r="B2" s="35" t="s">
        <v>118</v>
      </c>
      <c r="C2" s="38" t="s">
        <v>136</v>
      </c>
      <c r="D2" s="34" t="str">
        <f>"STR_"&amp;UPPER(C2)</f>
        <v>STR_MAP_S1_001</v>
      </c>
      <c r="E2" s="34" t="str">
        <f>D2&amp;"_DESC"</f>
        <v>STR_MAP_S1_001_DESC</v>
      </c>
      <c r="F2" s="34">
        <v>1</v>
      </c>
      <c r="G2" s="34">
        <v>99</v>
      </c>
      <c r="H2" s="34" t="s">
        <v>104</v>
      </c>
      <c r="I2" s="34">
        <v>8.8000000000000007</v>
      </c>
      <c r="J2" s="34">
        <v>7.8000000000000007</v>
      </c>
      <c r="K2" s="34">
        <v>0</v>
      </c>
      <c r="L2" s="34" t="s">
        <v>102</v>
      </c>
      <c r="M2" s="34" t="s">
        <v>91</v>
      </c>
      <c r="N2" s="34" t="s">
        <v>297</v>
      </c>
      <c r="O2" s="36" t="s">
        <v>90</v>
      </c>
      <c r="P2" s="36">
        <v>1</v>
      </c>
      <c r="Q2" s="34">
        <v>0</v>
      </c>
      <c r="R2" s="36" t="s">
        <v>230</v>
      </c>
      <c r="S2" s="36" t="s">
        <v>41</v>
      </c>
      <c r="T2" s="36" t="s">
        <v>41</v>
      </c>
    </row>
    <row r="3" spans="1:22" x14ac:dyDescent="0.3">
      <c r="A3" s="34">
        <v>50001</v>
      </c>
      <c r="B3" s="35" t="s">
        <v>115</v>
      </c>
      <c r="C3" s="34" t="s">
        <v>137</v>
      </c>
      <c r="D3" s="34" t="str">
        <f t="shared" ref="D3:D12" si="0">"STR_"&amp;UPPER(C3)</f>
        <v>STR_MAP_S1_002</v>
      </c>
      <c r="E3" s="34" t="str">
        <f t="shared" ref="E3:E12" si="1">D3&amp;"_DESC"</f>
        <v>STR_MAP_S1_002_DESC</v>
      </c>
      <c r="F3" s="34">
        <v>1</v>
      </c>
      <c r="G3" s="34">
        <v>99</v>
      </c>
      <c r="H3" s="34" t="s">
        <v>104</v>
      </c>
      <c r="I3" s="34">
        <v>9.2000000000000011</v>
      </c>
      <c r="J3" s="34">
        <v>8.2000000000000011</v>
      </c>
      <c r="K3" s="34">
        <v>0</v>
      </c>
      <c r="L3" s="34" t="s">
        <v>92</v>
      </c>
      <c r="M3" s="34" t="s">
        <v>91</v>
      </c>
      <c r="N3" s="34" t="s">
        <v>297</v>
      </c>
      <c r="O3" s="36" t="s">
        <v>90</v>
      </c>
      <c r="P3" s="36">
        <v>1</v>
      </c>
      <c r="Q3" s="34">
        <v>0</v>
      </c>
      <c r="R3" s="36" t="s">
        <v>232</v>
      </c>
      <c r="S3" s="36" t="s">
        <v>41</v>
      </c>
      <c r="T3" s="36" t="s">
        <v>41</v>
      </c>
    </row>
    <row r="4" spans="1:22" x14ac:dyDescent="0.3">
      <c r="A4" s="34">
        <v>50002</v>
      </c>
      <c r="B4" s="35" t="s">
        <v>116</v>
      </c>
      <c r="C4" s="34" t="s">
        <v>138</v>
      </c>
      <c r="D4" s="34" t="str">
        <f t="shared" si="0"/>
        <v>STR_MAP_S1_003</v>
      </c>
      <c r="E4" s="34" t="str">
        <f t="shared" si="1"/>
        <v>STR_MAP_S1_003_DESC</v>
      </c>
      <c r="F4" s="34">
        <v>1</v>
      </c>
      <c r="G4" s="34">
        <v>99</v>
      </c>
      <c r="H4" s="34" t="s">
        <v>104</v>
      </c>
      <c r="I4" s="34">
        <v>8.8000000000000007</v>
      </c>
      <c r="J4" s="34">
        <v>7.8000000000000007</v>
      </c>
      <c r="K4" s="34">
        <v>0</v>
      </c>
      <c r="L4" s="34" t="s">
        <v>93</v>
      </c>
      <c r="M4" s="34" t="s">
        <v>91</v>
      </c>
      <c r="N4" s="34" t="s">
        <v>297</v>
      </c>
      <c r="O4" s="36" t="s">
        <v>90</v>
      </c>
      <c r="P4" s="36">
        <v>1</v>
      </c>
      <c r="Q4" s="34">
        <v>0</v>
      </c>
      <c r="R4" s="36" t="s">
        <v>232</v>
      </c>
      <c r="S4" s="36" t="s">
        <v>41</v>
      </c>
      <c r="T4" s="36" t="s">
        <v>41</v>
      </c>
    </row>
    <row r="5" spans="1:22" x14ac:dyDescent="0.3">
      <c r="A5" s="34">
        <v>50003</v>
      </c>
      <c r="B5" s="35" t="s">
        <v>117</v>
      </c>
      <c r="C5" s="34" t="s">
        <v>139</v>
      </c>
      <c r="D5" s="34" t="str">
        <f t="shared" si="0"/>
        <v>STR_MAP_S1_004</v>
      </c>
      <c r="E5" s="34" t="str">
        <f t="shared" si="1"/>
        <v>STR_MAP_S1_004_DESC</v>
      </c>
      <c r="F5" s="34">
        <v>1</v>
      </c>
      <c r="G5" s="34">
        <v>99</v>
      </c>
      <c r="H5" s="34" t="s">
        <v>104</v>
      </c>
      <c r="I5" s="34">
        <v>8.8000000000000007</v>
      </c>
      <c r="J5" s="34">
        <v>7.8000000000000007</v>
      </c>
      <c r="K5" s="34">
        <v>0</v>
      </c>
      <c r="L5" s="34" t="s">
        <v>94</v>
      </c>
      <c r="M5" s="34" t="s">
        <v>91</v>
      </c>
      <c r="N5" s="34" t="s">
        <v>297</v>
      </c>
      <c r="O5" s="36" t="s">
        <v>90</v>
      </c>
      <c r="P5" s="36">
        <v>1</v>
      </c>
      <c r="Q5" s="34">
        <v>0</v>
      </c>
      <c r="R5" s="36" t="s">
        <v>232</v>
      </c>
      <c r="S5" s="36" t="s">
        <v>41</v>
      </c>
      <c r="T5" s="36" t="s">
        <v>41</v>
      </c>
    </row>
    <row r="6" spans="1:22" x14ac:dyDescent="0.3">
      <c r="A6" s="34">
        <v>50004</v>
      </c>
      <c r="B6" t="s">
        <v>123</v>
      </c>
      <c r="C6" s="34" t="s">
        <v>256</v>
      </c>
      <c r="D6" s="34" t="str">
        <f t="shared" si="0"/>
        <v>STR_MAP_S2_001</v>
      </c>
      <c r="E6" s="34" t="str">
        <f t="shared" si="1"/>
        <v>STR_MAP_S2_001_DESC</v>
      </c>
      <c r="F6" s="34">
        <v>2</v>
      </c>
      <c r="G6" s="34">
        <v>1</v>
      </c>
      <c r="H6" s="34" t="s">
        <v>104</v>
      </c>
      <c r="I6" s="34">
        <v>7.2</v>
      </c>
      <c r="J6" s="34">
        <v>6.2</v>
      </c>
      <c r="K6" s="34">
        <v>0</v>
      </c>
      <c r="L6" s="34" t="s">
        <v>95</v>
      </c>
      <c r="M6" s="34" t="s">
        <v>120</v>
      </c>
      <c r="N6" s="34" t="s">
        <v>298</v>
      </c>
      <c r="O6" s="36" t="s">
        <v>89</v>
      </c>
      <c r="P6" s="36">
        <v>1</v>
      </c>
      <c r="Q6" s="34">
        <v>0</v>
      </c>
      <c r="R6" s="36" t="s">
        <v>231</v>
      </c>
      <c r="S6" s="36" t="s">
        <v>41</v>
      </c>
      <c r="T6" s="36" t="s">
        <v>41</v>
      </c>
      <c r="U6" s="36" t="s">
        <v>233</v>
      </c>
      <c r="V6" s="36" t="s">
        <v>234</v>
      </c>
    </row>
    <row r="7" spans="1:22" x14ac:dyDescent="0.3">
      <c r="A7" s="34">
        <v>50005</v>
      </c>
      <c r="B7" t="s">
        <v>124</v>
      </c>
      <c r="C7" s="34" t="s">
        <v>257</v>
      </c>
      <c r="D7" s="34" t="str">
        <f t="shared" si="0"/>
        <v>STR_MAP_S2_002</v>
      </c>
      <c r="E7" s="34" t="str">
        <f t="shared" si="1"/>
        <v>STR_MAP_S2_002_DESC</v>
      </c>
      <c r="F7" s="34">
        <v>2</v>
      </c>
      <c r="G7" s="34">
        <v>1</v>
      </c>
      <c r="H7" s="34" t="s">
        <v>104</v>
      </c>
      <c r="I7" s="34">
        <v>6.2</v>
      </c>
      <c r="J7" s="34">
        <v>5.2</v>
      </c>
      <c r="K7" s="34">
        <v>0</v>
      </c>
      <c r="L7" s="34" t="s">
        <v>96</v>
      </c>
      <c r="M7" s="34" t="s">
        <v>113</v>
      </c>
      <c r="N7" s="34" t="s">
        <v>298</v>
      </c>
      <c r="O7" s="36" t="s">
        <v>110</v>
      </c>
      <c r="P7" s="36">
        <v>1</v>
      </c>
      <c r="Q7" s="34">
        <v>0</v>
      </c>
      <c r="R7" s="36" t="s">
        <v>231</v>
      </c>
      <c r="S7" s="36" t="s">
        <v>41</v>
      </c>
      <c r="T7" s="36" t="s">
        <v>41</v>
      </c>
      <c r="U7" s="36" t="s">
        <v>233</v>
      </c>
      <c r="V7" s="36" t="s">
        <v>234</v>
      </c>
    </row>
    <row r="8" spans="1:22" x14ac:dyDescent="0.3">
      <c r="A8" s="34">
        <v>50006</v>
      </c>
      <c r="B8" t="s">
        <v>125</v>
      </c>
      <c r="C8" s="34" t="s">
        <v>258</v>
      </c>
      <c r="D8" s="34" t="str">
        <f t="shared" si="0"/>
        <v>STR_MAP_S2_003</v>
      </c>
      <c r="E8" s="34" t="str">
        <f t="shared" si="1"/>
        <v>STR_MAP_S2_003_DESC</v>
      </c>
      <c r="F8" s="34">
        <v>2</v>
      </c>
      <c r="G8" s="34">
        <v>1</v>
      </c>
      <c r="H8" s="34" t="s">
        <v>130</v>
      </c>
      <c r="I8" s="34">
        <v>9.1</v>
      </c>
      <c r="J8" s="34">
        <v>8.1</v>
      </c>
      <c r="K8" s="34">
        <v>0</v>
      </c>
      <c r="L8" s="34" t="s">
        <v>97</v>
      </c>
      <c r="M8" s="34" t="s">
        <v>114</v>
      </c>
      <c r="N8" s="34" t="s">
        <v>300</v>
      </c>
      <c r="O8" s="36" t="s">
        <v>111</v>
      </c>
      <c r="P8" s="36">
        <v>1</v>
      </c>
      <c r="Q8" s="34">
        <v>0</v>
      </c>
      <c r="R8" s="36" t="s">
        <v>231</v>
      </c>
      <c r="S8" s="36" t="s">
        <v>41</v>
      </c>
      <c r="T8" s="36" t="s">
        <v>41</v>
      </c>
      <c r="U8" s="36" t="s">
        <v>233</v>
      </c>
      <c r="V8" s="36" t="s">
        <v>234</v>
      </c>
    </row>
    <row r="9" spans="1:22" x14ac:dyDescent="0.3">
      <c r="A9" s="34">
        <v>50007</v>
      </c>
      <c r="B9" t="s">
        <v>126</v>
      </c>
      <c r="C9" s="34" t="s">
        <v>259</v>
      </c>
      <c r="D9" s="34" t="str">
        <f t="shared" si="0"/>
        <v>STR_MAP_S2_004</v>
      </c>
      <c r="E9" s="34" t="str">
        <f t="shared" si="1"/>
        <v>STR_MAP_S2_004_DESC</v>
      </c>
      <c r="F9" s="34">
        <v>2</v>
      </c>
      <c r="G9" s="34">
        <v>1</v>
      </c>
      <c r="H9" s="34" t="s">
        <v>104</v>
      </c>
      <c r="I9" s="34">
        <v>7.4</v>
      </c>
      <c r="J9" s="34">
        <v>6.4</v>
      </c>
      <c r="K9" s="34">
        <v>0</v>
      </c>
      <c r="L9" s="34" t="s">
        <v>98</v>
      </c>
      <c r="M9" s="34" t="s">
        <v>113</v>
      </c>
      <c r="N9" s="34" t="s">
        <v>298</v>
      </c>
      <c r="O9" s="36" t="s">
        <v>110</v>
      </c>
      <c r="P9" s="36">
        <v>1</v>
      </c>
      <c r="Q9" s="34">
        <v>0</v>
      </c>
      <c r="R9" s="36" t="s">
        <v>231</v>
      </c>
      <c r="S9" s="36" t="s">
        <v>41</v>
      </c>
      <c r="T9" s="36" t="s">
        <v>41</v>
      </c>
      <c r="U9" s="36" t="s">
        <v>233</v>
      </c>
      <c r="V9" s="36" t="s">
        <v>234</v>
      </c>
    </row>
    <row r="10" spans="1:22" x14ac:dyDescent="0.3">
      <c r="A10" s="34">
        <v>50008</v>
      </c>
      <c r="B10" t="s">
        <v>127</v>
      </c>
      <c r="C10" s="34" t="s">
        <v>260</v>
      </c>
      <c r="D10" s="34" t="str">
        <f t="shared" si="0"/>
        <v>STR_MAP_S2_005</v>
      </c>
      <c r="E10" s="34" t="str">
        <f t="shared" si="1"/>
        <v>STR_MAP_S2_005_DESC</v>
      </c>
      <c r="F10" s="34">
        <v>2</v>
      </c>
      <c r="G10" s="34">
        <v>1</v>
      </c>
      <c r="H10" s="34" t="s">
        <v>132</v>
      </c>
      <c r="I10" s="34">
        <v>3.3000000000000003</v>
      </c>
      <c r="J10" s="34">
        <v>2.3000000000000003</v>
      </c>
      <c r="K10" s="34">
        <v>0</v>
      </c>
      <c r="L10" s="34" t="s">
        <v>99</v>
      </c>
      <c r="M10" s="34" t="s">
        <v>121</v>
      </c>
      <c r="N10" s="34" t="s">
        <v>300</v>
      </c>
      <c r="O10" s="36" t="s">
        <v>112</v>
      </c>
      <c r="P10" s="36">
        <v>3</v>
      </c>
      <c r="Q10" s="34">
        <v>0</v>
      </c>
      <c r="R10" s="36" t="s">
        <v>231</v>
      </c>
      <c r="S10" s="36" t="s">
        <v>41</v>
      </c>
      <c r="T10" s="36" t="s">
        <v>41</v>
      </c>
      <c r="U10" s="36" t="s">
        <v>233</v>
      </c>
      <c r="V10" s="36" t="s">
        <v>234</v>
      </c>
    </row>
    <row r="11" spans="1:22" x14ac:dyDescent="0.3">
      <c r="A11" s="34">
        <v>50009</v>
      </c>
      <c r="B11" t="s">
        <v>128</v>
      </c>
      <c r="C11" s="34" t="s">
        <v>261</v>
      </c>
      <c r="D11" s="34" t="str">
        <f t="shared" si="0"/>
        <v>STR_MAP_S2_006</v>
      </c>
      <c r="E11" s="34" t="str">
        <f t="shared" si="1"/>
        <v>STR_MAP_S2_006_DESC</v>
      </c>
      <c r="F11" s="34">
        <v>2</v>
      </c>
      <c r="G11" s="34">
        <v>1</v>
      </c>
      <c r="H11" s="34" t="s">
        <v>104</v>
      </c>
      <c r="I11" s="34">
        <v>6.1000000000000005</v>
      </c>
      <c r="J11" s="34">
        <v>5.1000000000000005</v>
      </c>
      <c r="K11" s="34">
        <v>0</v>
      </c>
      <c r="L11" s="34" t="s">
        <v>100</v>
      </c>
      <c r="M11" s="34" t="s">
        <v>121</v>
      </c>
      <c r="N11" s="34" t="s">
        <v>298</v>
      </c>
      <c r="O11" s="36" t="s">
        <v>112</v>
      </c>
      <c r="P11" s="36">
        <v>1</v>
      </c>
      <c r="Q11" s="34">
        <v>0</v>
      </c>
      <c r="R11" s="36" t="s">
        <v>231</v>
      </c>
      <c r="S11" s="36" t="s">
        <v>41</v>
      </c>
      <c r="T11" s="36" t="s">
        <v>41</v>
      </c>
      <c r="U11" s="36" t="s">
        <v>233</v>
      </c>
      <c r="V11" s="36" t="s">
        <v>234</v>
      </c>
    </row>
    <row r="12" spans="1:22" x14ac:dyDescent="0.3">
      <c r="A12" s="34">
        <v>50010</v>
      </c>
      <c r="B12" t="s">
        <v>129</v>
      </c>
      <c r="C12" s="34" t="s">
        <v>262</v>
      </c>
      <c r="D12" s="34" t="str">
        <f t="shared" si="0"/>
        <v>STR_MAP_S2_007</v>
      </c>
      <c r="E12" s="34" t="str">
        <f t="shared" si="1"/>
        <v>STR_MAP_S2_007_DESC</v>
      </c>
      <c r="F12" s="34">
        <v>2</v>
      </c>
      <c r="G12" s="34">
        <v>1</v>
      </c>
      <c r="H12" s="34" t="s">
        <v>134</v>
      </c>
      <c r="I12" s="34">
        <v>5.4</v>
      </c>
      <c r="J12" s="34">
        <v>4.4000000000000004</v>
      </c>
      <c r="K12" s="34">
        <v>0</v>
      </c>
      <c r="L12" s="34" t="s">
        <v>101</v>
      </c>
      <c r="M12" s="34" t="s">
        <v>146</v>
      </c>
      <c r="N12" s="34" t="s">
        <v>301</v>
      </c>
      <c r="O12" s="36" t="s">
        <v>145</v>
      </c>
      <c r="P12" s="36">
        <v>3</v>
      </c>
      <c r="Q12" s="34">
        <v>0</v>
      </c>
      <c r="R12" s="36" t="s">
        <v>231</v>
      </c>
      <c r="S12" s="36" t="s">
        <v>41</v>
      </c>
      <c r="T12" s="36" t="s">
        <v>41</v>
      </c>
      <c r="U12" s="36" t="s">
        <v>233</v>
      </c>
      <c r="V12" s="36" t="s">
        <v>234</v>
      </c>
    </row>
    <row r="13" spans="1:22" x14ac:dyDescent="0.3">
      <c r="A13" s="34">
        <v>50011</v>
      </c>
      <c r="B13" s="35" t="s">
        <v>147</v>
      </c>
      <c r="C13" s="34" t="s">
        <v>263</v>
      </c>
      <c r="D13" s="34" t="str">
        <f t="shared" ref="D13:D16" si="2">"STR_"&amp;UPPER(C13)</f>
        <v>STR_MAP_S2_008</v>
      </c>
      <c r="E13" s="34" t="str">
        <f t="shared" ref="E13:E16" si="3">D13&amp;"_DESC"</f>
        <v>STR_MAP_S2_008_DESC</v>
      </c>
      <c r="F13" s="34">
        <v>2</v>
      </c>
      <c r="G13" s="34">
        <v>1</v>
      </c>
      <c r="H13" s="34" t="s">
        <v>103</v>
      </c>
      <c r="I13" s="34">
        <v>6.6000000000000005</v>
      </c>
      <c r="J13" s="34">
        <v>5.6000000000000005</v>
      </c>
      <c r="K13" s="34">
        <v>0</v>
      </c>
      <c r="L13" s="34" t="s">
        <v>150</v>
      </c>
      <c r="M13" s="34" t="s">
        <v>113</v>
      </c>
      <c r="N13" s="34" t="s">
        <v>298</v>
      </c>
      <c r="O13" s="36" t="s">
        <v>110</v>
      </c>
      <c r="P13" s="36">
        <v>1</v>
      </c>
      <c r="Q13" s="34">
        <v>0</v>
      </c>
      <c r="R13" s="36" t="s">
        <v>231</v>
      </c>
      <c r="S13" s="36" t="s">
        <v>41</v>
      </c>
      <c r="T13" s="36" t="s">
        <v>41</v>
      </c>
      <c r="U13" s="36" t="s">
        <v>233</v>
      </c>
      <c r="V13" s="36" t="s">
        <v>234</v>
      </c>
    </row>
    <row r="14" spans="1:22" x14ac:dyDescent="0.3">
      <c r="A14" s="34">
        <v>50012</v>
      </c>
      <c r="B14" s="35" t="s">
        <v>148</v>
      </c>
      <c r="C14" s="34" t="s">
        <v>264</v>
      </c>
      <c r="D14" s="34" t="str">
        <f t="shared" si="2"/>
        <v>STR_MAP_S2_009</v>
      </c>
      <c r="E14" s="34" t="str">
        <f t="shared" si="3"/>
        <v>STR_MAP_S2_009_DESC</v>
      </c>
      <c r="F14" s="34">
        <v>2</v>
      </c>
      <c r="G14" s="34">
        <v>1</v>
      </c>
      <c r="H14" s="34" t="s">
        <v>103</v>
      </c>
      <c r="I14" s="34">
        <v>6.6000000000000005</v>
      </c>
      <c r="J14" s="34">
        <v>5.6000000000000005</v>
      </c>
      <c r="K14" s="34">
        <v>0</v>
      </c>
      <c r="L14" s="34" t="s">
        <v>151</v>
      </c>
      <c r="M14" s="34" t="s">
        <v>181</v>
      </c>
      <c r="N14" s="34" t="s">
        <v>298</v>
      </c>
      <c r="O14" s="36" t="s">
        <v>185</v>
      </c>
      <c r="P14" s="36">
        <v>1</v>
      </c>
      <c r="Q14" s="34">
        <v>0</v>
      </c>
      <c r="R14" s="36" t="s">
        <v>231</v>
      </c>
      <c r="S14" s="36" t="s">
        <v>41</v>
      </c>
      <c r="T14" s="36" t="s">
        <v>41</v>
      </c>
      <c r="U14" s="36" t="s">
        <v>233</v>
      </c>
      <c r="V14" s="36" t="s">
        <v>234</v>
      </c>
    </row>
    <row r="15" spans="1:22" x14ac:dyDescent="0.3">
      <c r="A15" s="34">
        <v>50013</v>
      </c>
      <c r="B15" t="s">
        <v>160</v>
      </c>
      <c r="C15" s="34" t="s">
        <v>265</v>
      </c>
      <c r="D15" s="34" t="str">
        <f t="shared" si="2"/>
        <v>STR_MAP_S2_010</v>
      </c>
      <c r="E15" s="34" t="str">
        <f t="shared" si="3"/>
        <v>STR_MAP_S2_010_DESC</v>
      </c>
      <c r="F15" s="34">
        <v>2</v>
      </c>
      <c r="G15" s="34">
        <v>1</v>
      </c>
      <c r="H15" s="34" t="s">
        <v>130</v>
      </c>
      <c r="I15" s="34">
        <v>8.1999999999999993</v>
      </c>
      <c r="J15" s="34">
        <v>7.2</v>
      </c>
      <c r="K15" s="34">
        <v>0</v>
      </c>
      <c r="L15" s="34" t="s">
        <v>152</v>
      </c>
      <c r="M15" s="34" t="s">
        <v>182</v>
      </c>
      <c r="N15" s="34" t="s">
        <v>299</v>
      </c>
      <c r="O15" s="36" t="s">
        <v>186</v>
      </c>
      <c r="P15" s="36">
        <v>1</v>
      </c>
      <c r="Q15" s="34">
        <v>0</v>
      </c>
      <c r="R15" s="36" t="s">
        <v>231</v>
      </c>
      <c r="S15" s="36" t="s">
        <v>41</v>
      </c>
      <c r="T15" s="36" t="s">
        <v>41</v>
      </c>
    </row>
    <row r="16" spans="1:22" x14ac:dyDescent="0.3">
      <c r="A16" s="34">
        <v>50014</v>
      </c>
      <c r="B16" t="s">
        <v>149</v>
      </c>
      <c r="C16" s="34" t="s">
        <v>266</v>
      </c>
      <c r="D16" s="34" t="str">
        <f t="shared" si="2"/>
        <v>STR_MAP_S2_011</v>
      </c>
      <c r="E16" s="34" t="str">
        <f t="shared" si="3"/>
        <v>STR_MAP_S2_011_DESC</v>
      </c>
      <c r="F16" s="34">
        <v>2</v>
      </c>
      <c r="G16" s="34">
        <v>1</v>
      </c>
      <c r="H16" s="34" t="s">
        <v>134</v>
      </c>
      <c r="I16" s="34">
        <v>4.9000000000000004</v>
      </c>
      <c r="J16" s="34">
        <v>3.9000000000000004</v>
      </c>
      <c r="K16" s="34">
        <v>0</v>
      </c>
      <c r="L16" s="34" t="s">
        <v>153</v>
      </c>
      <c r="M16" s="34" t="s">
        <v>182</v>
      </c>
      <c r="N16" s="34" t="s">
        <v>298</v>
      </c>
      <c r="O16" s="36" t="s">
        <v>186</v>
      </c>
      <c r="P16" s="36">
        <v>1</v>
      </c>
      <c r="Q16" s="34">
        <v>0</v>
      </c>
      <c r="R16" s="36" t="s">
        <v>231</v>
      </c>
      <c r="S16" s="36" t="s">
        <v>41</v>
      </c>
      <c r="T16" s="36" t="s">
        <v>41</v>
      </c>
      <c r="U16" s="36" t="s">
        <v>233</v>
      </c>
      <c r="V16" s="36" t="s">
        <v>234</v>
      </c>
    </row>
    <row r="17" spans="1:22" x14ac:dyDescent="0.3">
      <c r="A17" s="34">
        <v>50015</v>
      </c>
      <c r="B17" s="35" t="s">
        <v>154</v>
      </c>
      <c r="C17" s="34" t="s">
        <v>267</v>
      </c>
      <c r="D17" s="34" t="str">
        <f t="shared" ref="D17:D24" si="4">"STR_"&amp;UPPER(C17)</f>
        <v>STR_MAP_S2_012</v>
      </c>
      <c r="E17" s="34" t="str">
        <f t="shared" ref="E17:E24" si="5">D17&amp;"_DESC"</f>
        <v>STR_MAP_S2_012_DESC</v>
      </c>
      <c r="F17" s="34">
        <v>2</v>
      </c>
      <c r="G17" s="34">
        <v>1</v>
      </c>
      <c r="H17" s="34" t="s">
        <v>103</v>
      </c>
      <c r="I17" s="34">
        <v>7.2</v>
      </c>
      <c r="J17" s="34">
        <v>6.2</v>
      </c>
      <c r="K17" s="34">
        <v>0</v>
      </c>
      <c r="L17" s="34" t="s">
        <v>161</v>
      </c>
      <c r="M17" s="34" t="s">
        <v>181</v>
      </c>
      <c r="N17" s="34" t="s">
        <v>298</v>
      </c>
      <c r="O17" s="36" t="s">
        <v>185</v>
      </c>
      <c r="P17" s="36">
        <v>1</v>
      </c>
      <c r="Q17" s="34">
        <v>0</v>
      </c>
      <c r="R17" s="36" t="s">
        <v>231</v>
      </c>
      <c r="S17" s="36" t="s">
        <v>41</v>
      </c>
      <c r="T17" s="36" t="s">
        <v>41</v>
      </c>
      <c r="U17" s="36" t="s">
        <v>233</v>
      </c>
      <c r="V17" s="36" t="s">
        <v>234</v>
      </c>
    </row>
    <row r="18" spans="1:22" x14ac:dyDescent="0.3">
      <c r="A18" s="34">
        <v>50016</v>
      </c>
      <c r="B18" t="s">
        <v>155</v>
      </c>
      <c r="C18" s="34" t="s">
        <v>268</v>
      </c>
      <c r="D18" s="34" t="str">
        <f t="shared" si="4"/>
        <v>STR_MAP_S2_013</v>
      </c>
      <c r="E18" s="34" t="str">
        <f t="shared" si="5"/>
        <v>STR_MAP_S2_013_DESC</v>
      </c>
      <c r="F18" s="34">
        <v>2</v>
      </c>
      <c r="G18" s="34">
        <v>1</v>
      </c>
      <c r="H18" s="34" t="s">
        <v>130</v>
      </c>
      <c r="I18" s="34">
        <v>8.3000000000000007</v>
      </c>
      <c r="J18" s="34">
        <v>7.3000000000000007</v>
      </c>
      <c r="K18" s="34">
        <v>0</v>
      </c>
      <c r="L18" s="34" t="s">
        <v>162</v>
      </c>
      <c r="M18" s="34" t="s">
        <v>183</v>
      </c>
      <c r="N18" s="34" t="s">
        <v>299</v>
      </c>
      <c r="O18" s="36" t="s">
        <v>187</v>
      </c>
      <c r="P18" s="36">
        <v>1</v>
      </c>
      <c r="Q18" s="34">
        <v>0</v>
      </c>
      <c r="R18" s="36" t="s">
        <v>231</v>
      </c>
      <c r="S18" s="36" t="s">
        <v>41</v>
      </c>
      <c r="T18" s="36" t="s">
        <v>41</v>
      </c>
    </row>
    <row r="19" spans="1:22" x14ac:dyDescent="0.3">
      <c r="A19" s="34">
        <v>50017</v>
      </c>
      <c r="B19" t="s">
        <v>156</v>
      </c>
      <c r="C19" s="34" t="s">
        <v>269</v>
      </c>
      <c r="D19" s="34" t="str">
        <f t="shared" si="4"/>
        <v>STR_MAP_S2_014</v>
      </c>
      <c r="E19" s="34" t="str">
        <f t="shared" si="5"/>
        <v>STR_MAP_S2_014_DESC</v>
      </c>
      <c r="F19" s="34">
        <v>2</v>
      </c>
      <c r="G19" s="34">
        <v>1</v>
      </c>
      <c r="H19" s="34" t="s">
        <v>130</v>
      </c>
      <c r="I19" s="34">
        <v>8.3000000000000007</v>
      </c>
      <c r="J19" s="34">
        <v>7.3000000000000007</v>
      </c>
      <c r="K19" s="34">
        <v>0</v>
      </c>
      <c r="L19" s="34" t="s">
        <v>163</v>
      </c>
      <c r="M19" s="34" t="s">
        <v>183</v>
      </c>
      <c r="N19" s="34" t="s">
        <v>299</v>
      </c>
      <c r="O19" s="36" t="s">
        <v>187</v>
      </c>
      <c r="P19" s="36">
        <v>1</v>
      </c>
      <c r="Q19" s="34">
        <v>0</v>
      </c>
      <c r="R19" s="36" t="s">
        <v>231</v>
      </c>
      <c r="S19" s="36" t="s">
        <v>41</v>
      </c>
      <c r="T19" s="36" t="s">
        <v>41</v>
      </c>
    </row>
    <row r="20" spans="1:22" x14ac:dyDescent="0.3">
      <c r="A20" s="34">
        <v>50018</v>
      </c>
      <c r="B20" t="s">
        <v>157</v>
      </c>
      <c r="C20" s="34" t="s">
        <v>270</v>
      </c>
      <c r="D20" s="34" t="str">
        <f t="shared" si="4"/>
        <v>STR_MAP_S2_015</v>
      </c>
      <c r="E20" s="34" t="str">
        <f t="shared" si="5"/>
        <v>STR_MAP_S2_015_DESC</v>
      </c>
      <c r="F20" s="34">
        <v>2</v>
      </c>
      <c r="G20" s="34">
        <v>1</v>
      </c>
      <c r="H20" s="34" t="s">
        <v>130</v>
      </c>
      <c r="I20" s="34">
        <v>8.3000000000000007</v>
      </c>
      <c r="J20" s="34">
        <v>7.3000000000000007</v>
      </c>
      <c r="K20" s="34">
        <v>0</v>
      </c>
      <c r="L20" s="34" t="s">
        <v>164</v>
      </c>
      <c r="M20" s="34" t="s">
        <v>183</v>
      </c>
      <c r="N20" s="34" t="s">
        <v>299</v>
      </c>
      <c r="O20" s="36" t="s">
        <v>187</v>
      </c>
      <c r="P20" s="36">
        <v>1</v>
      </c>
      <c r="Q20" s="34">
        <v>0</v>
      </c>
      <c r="R20" s="36" t="s">
        <v>231</v>
      </c>
      <c r="S20" s="36" t="s">
        <v>41</v>
      </c>
      <c r="T20" s="36" t="s">
        <v>41</v>
      </c>
    </row>
    <row r="21" spans="1:22" x14ac:dyDescent="0.3">
      <c r="A21" s="34">
        <v>50019</v>
      </c>
      <c r="B21" t="s">
        <v>156</v>
      </c>
      <c r="C21" s="34" t="s">
        <v>271</v>
      </c>
      <c r="D21" s="34" t="str">
        <f t="shared" si="4"/>
        <v>STR_MAP_S2_016</v>
      </c>
      <c r="E21" s="34" t="str">
        <f t="shared" si="5"/>
        <v>STR_MAP_S2_016_DESC</v>
      </c>
      <c r="F21" s="34">
        <v>2</v>
      </c>
      <c r="G21" s="34">
        <v>1</v>
      </c>
      <c r="H21" s="34" t="s">
        <v>130</v>
      </c>
      <c r="I21" s="34">
        <v>8.3000000000000007</v>
      </c>
      <c r="J21" s="34">
        <v>7.3000000000000007</v>
      </c>
      <c r="K21" s="34">
        <v>0</v>
      </c>
      <c r="L21" s="34" t="s">
        <v>165</v>
      </c>
      <c r="M21" s="34" t="s">
        <v>183</v>
      </c>
      <c r="N21" s="34" t="s">
        <v>299</v>
      </c>
      <c r="O21" s="36" t="s">
        <v>187</v>
      </c>
      <c r="P21" s="36">
        <v>1</v>
      </c>
      <c r="Q21" s="34">
        <v>0</v>
      </c>
      <c r="R21" s="36" t="s">
        <v>231</v>
      </c>
      <c r="S21" s="36" t="s">
        <v>41</v>
      </c>
      <c r="T21" s="36" t="s">
        <v>41</v>
      </c>
    </row>
    <row r="22" spans="1:22" x14ac:dyDescent="0.3">
      <c r="A22" s="34">
        <v>50020</v>
      </c>
      <c r="B22" t="s">
        <v>159</v>
      </c>
      <c r="C22" s="34" t="s">
        <v>272</v>
      </c>
      <c r="D22" s="34" t="str">
        <f t="shared" si="4"/>
        <v>STR_MAP_S2_017</v>
      </c>
      <c r="E22" s="34" t="str">
        <f t="shared" si="5"/>
        <v>STR_MAP_S2_017_DESC</v>
      </c>
      <c r="F22" s="34">
        <v>2</v>
      </c>
      <c r="G22" s="34">
        <v>1</v>
      </c>
      <c r="H22" s="34" t="s">
        <v>130</v>
      </c>
      <c r="I22" s="34">
        <v>8.3000000000000007</v>
      </c>
      <c r="J22" s="34">
        <v>7.3000000000000007</v>
      </c>
      <c r="K22" s="34">
        <v>0</v>
      </c>
      <c r="L22" s="34" t="s">
        <v>166</v>
      </c>
      <c r="M22" s="34" t="s">
        <v>183</v>
      </c>
      <c r="N22" s="34" t="s">
        <v>299</v>
      </c>
      <c r="O22" s="36" t="s">
        <v>187</v>
      </c>
      <c r="P22" s="36">
        <v>1</v>
      </c>
      <c r="Q22" s="34">
        <v>0</v>
      </c>
      <c r="R22" s="36" t="s">
        <v>231</v>
      </c>
      <c r="S22" s="36" t="s">
        <v>41</v>
      </c>
      <c r="T22" s="36" t="s">
        <v>41</v>
      </c>
    </row>
    <row r="23" spans="1:22" x14ac:dyDescent="0.3">
      <c r="A23" s="34">
        <v>50021</v>
      </c>
      <c r="B23" t="s">
        <v>158</v>
      </c>
      <c r="C23" s="34" t="s">
        <v>273</v>
      </c>
      <c r="D23" s="34" t="str">
        <f t="shared" si="4"/>
        <v>STR_MAP_S2_018</v>
      </c>
      <c r="E23" s="34" t="str">
        <f t="shared" si="5"/>
        <v>STR_MAP_S2_018_DESC</v>
      </c>
      <c r="F23" s="34">
        <v>2</v>
      </c>
      <c r="G23" s="34">
        <v>1</v>
      </c>
      <c r="H23" s="34" t="s">
        <v>130</v>
      </c>
      <c r="I23" s="34">
        <v>8.3000000000000007</v>
      </c>
      <c r="J23" s="34">
        <v>7.3000000000000007</v>
      </c>
      <c r="K23" s="34">
        <v>0</v>
      </c>
      <c r="L23" s="34" t="s">
        <v>167</v>
      </c>
      <c r="M23" s="34" t="s">
        <v>183</v>
      </c>
      <c r="N23" s="34" t="s">
        <v>299</v>
      </c>
      <c r="O23" s="36" t="s">
        <v>187</v>
      </c>
      <c r="P23" s="36">
        <v>1</v>
      </c>
      <c r="Q23" s="34">
        <v>0</v>
      </c>
      <c r="R23" s="36" t="s">
        <v>231</v>
      </c>
      <c r="S23" s="36" t="s">
        <v>41</v>
      </c>
      <c r="T23" s="36" t="s">
        <v>41</v>
      </c>
    </row>
    <row r="24" spans="1:22" x14ac:dyDescent="0.3">
      <c r="A24" s="34">
        <v>50022</v>
      </c>
      <c r="B24" t="s">
        <v>158</v>
      </c>
      <c r="C24" s="34" t="s">
        <v>274</v>
      </c>
      <c r="D24" s="34" t="str">
        <f t="shared" si="4"/>
        <v>STR_MAP_S2_019</v>
      </c>
      <c r="E24" s="34" t="str">
        <f t="shared" si="5"/>
        <v>STR_MAP_S2_019_DESC</v>
      </c>
      <c r="F24" s="34">
        <v>2</v>
      </c>
      <c r="G24" s="34">
        <v>1</v>
      </c>
      <c r="H24" s="34" t="s">
        <v>130</v>
      </c>
      <c r="I24" s="34">
        <v>8.3000000000000007</v>
      </c>
      <c r="J24" s="34">
        <v>7.3000000000000007</v>
      </c>
      <c r="K24" s="34">
        <v>0</v>
      </c>
      <c r="L24" s="34" t="s">
        <v>168</v>
      </c>
      <c r="M24" s="34" t="s">
        <v>183</v>
      </c>
      <c r="N24" s="34" t="s">
        <v>299</v>
      </c>
      <c r="O24" s="36" t="s">
        <v>187</v>
      </c>
      <c r="P24" s="36">
        <v>1</v>
      </c>
      <c r="Q24" s="34">
        <v>0</v>
      </c>
      <c r="R24" s="36" t="s">
        <v>231</v>
      </c>
      <c r="S24" s="36" t="s">
        <v>41</v>
      </c>
      <c r="T24" s="36" t="s">
        <v>41</v>
      </c>
    </row>
    <row r="25" spans="1:22" x14ac:dyDescent="0.3">
      <c r="A25" s="34">
        <v>50023</v>
      </c>
      <c r="B25" t="s">
        <v>159</v>
      </c>
      <c r="C25" s="34" t="s">
        <v>275</v>
      </c>
      <c r="D25" s="34" t="str">
        <f t="shared" ref="D25" si="6">"STR_"&amp;UPPER(C25)</f>
        <v>STR_MAP_S2_020</v>
      </c>
      <c r="E25" s="34" t="str">
        <f t="shared" ref="E25" si="7">D25&amp;"_DESC"</f>
        <v>STR_MAP_S2_020_DESC</v>
      </c>
      <c r="F25" s="34">
        <v>2</v>
      </c>
      <c r="G25" s="34">
        <v>1</v>
      </c>
      <c r="H25" s="34" t="s">
        <v>130</v>
      </c>
      <c r="I25" s="34">
        <v>8.3000000000000007</v>
      </c>
      <c r="J25" s="34">
        <v>7.3000000000000007</v>
      </c>
      <c r="K25" s="34">
        <v>0</v>
      </c>
      <c r="L25" s="34" t="s">
        <v>169</v>
      </c>
      <c r="M25" s="34" t="s">
        <v>183</v>
      </c>
      <c r="N25" s="34" t="s">
        <v>299</v>
      </c>
      <c r="O25" s="36" t="s">
        <v>187</v>
      </c>
      <c r="P25" s="36">
        <v>1</v>
      </c>
      <c r="Q25" s="34">
        <v>0</v>
      </c>
      <c r="R25" s="36" t="s">
        <v>231</v>
      </c>
      <c r="S25" s="36" t="s">
        <v>41</v>
      </c>
      <c r="T25" s="36" t="s">
        <v>41</v>
      </c>
    </row>
    <row r="26" spans="1:22" x14ac:dyDescent="0.3">
      <c r="A26" s="34">
        <v>50024</v>
      </c>
      <c r="B26" t="s">
        <v>170</v>
      </c>
      <c r="C26" s="34" t="s">
        <v>276</v>
      </c>
      <c r="D26" s="34" t="str">
        <f t="shared" ref="D26:D27" si="8">"STR_"&amp;UPPER(C26)</f>
        <v>STR_MAP_S2_021</v>
      </c>
      <c r="E26" s="34" t="str">
        <f t="shared" ref="E26:E27" si="9">D26&amp;"_DESC"</f>
        <v>STR_MAP_S2_021_DESC</v>
      </c>
      <c r="F26" s="34">
        <v>2</v>
      </c>
      <c r="G26" s="34">
        <v>1</v>
      </c>
      <c r="H26" s="34" t="s">
        <v>132</v>
      </c>
      <c r="I26" s="34">
        <v>5</v>
      </c>
      <c r="J26" s="34">
        <v>4</v>
      </c>
      <c r="K26" s="34">
        <v>0</v>
      </c>
      <c r="L26" s="34" t="s">
        <v>173</v>
      </c>
      <c r="M26" s="34" t="s">
        <v>121</v>
      </c>
      <c r="N26" s="34" t="s">
        <v>299</v>
      </c>
      <c r="O26" s="36" t="s">
        <v>112</v>
      </c>
      <c r="P26" s="36">
        <v>1</v>
      </c>
      <c r="Q26" s="34">
        <v>0</v>
      </c>
      <c r="R26" s="36" t="s">
        <v>231</v>
      </c>
      <c r="S26" s="36" t="s">
        <v>41</v>
      </c>
      <c r="T26" s="36" t="s">
        <v>41</v>
      </c>
      <c r="U26" s="36" t="s">
        <v>233</v>
      </c>
      <c r="V26" s="36" t="s">
        <v>234</v>
      </c>
    </row>
    <row r="27" spans="1:22" x14ac:dyDescent="0.3">
      <c r="A27" s="34">
        <v>50025</v>
      </c>
      <c r="B27" t="s">
        <v>239</v>
      </c>
      <c r="C27" s="34" t="s">
        <v>277</v>
      </c>
      <c r="D27" s="34" t="str">
        <f t="shared" si="8"/>
        <v>STR_MAP_S2_022</v>
      </c>
      <c r="E27" s="34" t="str">
        <f t="shared" si="9"/>
        <v>STR_MAP_S2_022_DESC</v>
      </c>
      <c r="F27" s="34">
        <v>2</v>
      </c>
      <c r="G27" s="34">
        <v>1</v>
      </c>
      <c r="H27" s="34" t="s">
        <v>103</v>
      </c>
      <c r="I27" s="34">
        <v>6.1000000000000005</v>
      </c>
      <c r="J27" s="34">
        <v>5.1000000000000005</v>
      </c>
      <c r="K27" s="34">
        <v>0</v>
      </c>
      <c r="L27" s="34" t="s">
        <v>174</v>
      </c>
      <c r="M27" s="34" t="s">
        <v>121</v>
      </c>
      <c r="N27" s="34" t="s">
        <v>298</v>
      </c>
      <c r="O27" s="36" t="s">
        <v>112</v>
      </c>
      <c r="P27" s="36">
        <v>1</v>
      </c>
      <c r="Q27" s="34">
        <v>0</v>
      </c>
      <c r="R27" s="36" t="s">
        <v>231</v>
      </c>
      <c r="S27" s="36" t="s">
        <v>41</v>
      </c>
      <c r="T27" s="36" t="s">
        <v>41</v>
      </c>
      <c r="U27" s="36" t="s">
        <v>233</v>
      </c>
      <c r="V27" s="36" t="s">
        <v>234</v>
      </c>
    </row>
    <row r="28" spans="1:22" x14ac:dyDescent="0.3">
      <c r="A28" s="34">
        <v>50026</v>
      </c>
      <c r="B28" t="s">
        <v>240</v>
      </c>
      <c r="C28" s="34" t="s">
        <v>278</v>
      </c>
      <c r="D28" s="34" t="str">
        <f t="shared" ref="D28:D29" si="10">"STR_"&amp;UPPER(C28)</f>
        <v>STR_MAP_S2_023</v>
      </c>
      <c r="E28" s="34" t="str">
        <f t="shared" ref="E28:E29" si="11">D28&amp;"_DESC"</f>
        <v>STR_MAP_S2_023_DESC</v>
      </c>
      <c r="F28" s="34">
        <v>2</v>
      </c>
      <c r="G28" s="34">
        <v>1</v>
      </c>
      <c r="H28" s="34" t="s">
        <v>130</v>
      </c>
      <c r="I28" s="34">
        <v>5.1000000000000005</v>
      </c>
      <c r="J28" s="34">
        <v>4.1000000000000005</v>
      </c>
      <c r="K28" s="34">
        <v>0</v>
      </c>
      <c r="L28" s="34" t="s">
        <v>175</v>
      </c>
      <c r="M28" s="34" t="s">
        <v>184</v>
      </c>
      <c r="N28" s="34" t="s">
        <v>300</v>
      </c>
      <c r="O28" s="36" t="s">
        <v>188</v>
      </c>
      <c r="P28" s="36">
        <v>1</v>
      </c>
      <c r="Q28" s="34">
        <v>0</v>
      </c>
      <c r="R28" s="36" t="s">
        <v>231</v>
      </c>
      <c r="S28" s="36" t="s">
        <v>41</v>
      </c>
      <c r="T28" s="36" t="s">
        <v>41</v>
      </c>
    </row>
    <row r="29" spans="1:22" x14ac:dyDescent="0.3">
      <c r="A29" s="34">
        <v>50027</v>
      </c>
      <c r="B29" t="s">
        <v>171</v>
      </c>
      <c r="C29" s="34" t="s">
        <v>279</v>
      </c>
      <c r="D29" s="34" t="str">
        <f t="shared" si="10"/>
        <v>STR_MAP_S2_024</v>
      </c>
      <c r="E29" s="34" t="str">
        <f t="shared" si="11"/>
        <v>STR_MAP_S2_024_DESC</v>
      </c>
      <c r="F29" s="34">
        <v>2</v>
      </c>
      <c r="G29" s="34">
        <v>1</v>
      </c>
      <c r="H29" s="34" t="s">
        <v>103</v>
      </c>
      <c r="I29" s="34">
        <v>7.4</v>
      </c>
      <c r="J29" s="34">
        <v>6.4</v>
      </c>
      <c r="K29" s="34">
        <v>0</v>
      </c>
      <c r="L29" s="34" t="s">
        <v>176</v>
      </c>
      <c r="M29" s="34" t="s">
        <v>184</v>
      </c>
      <c r="N29" s="34" t="s">
        <v>298</v>
      </c>
      <c r="O29" s="36" t="s">
        <v>188</v>
      </c>
      <c r="P29" s="36">
        <v>1</v>
      </c>
      <c r="Q29" s="34">
        <v>0</v>
      </c>
      <c r="R29" s="36" t="s">
        <v>231</v>
      </c>
      <c r="S29" s="36" t="s">
        <v>41</v>
      </c>
      <c r="T29" s="36" t="s">
        <v>41</v>
      </c>
      <c r="U29" s="36" t="s">
        <v>233</v>
      </c>
      <c r="V29" s="36" t="s">
        <v>234</v>
      </c>
    </row>
    <row r="30" spans="1:22" x14ac:dyDescent="0.3">
      <c r="A30" s="34">
        <v>50028</v>
      </c>
      <c r="B30" t="s">
        <v>172</v>
      </c>
      <c r="C30" s="34" t="s">
        <v>280</v>
      </c>
      <c r="D30" s="34" t="str">
        <f t="shared" ref="D30:D31" si="12">"STR_"&amp;UPPER(C30)</f>
        <v>STR_MAP_S2_025</v>
      </c>
      <c r="E30" s="34" t="str">
        <f t="shared" ref="E30:E31" si="13">D30&amp;"_DESC"</f>
        <v>STR_MAP_S2_025_DESC</v>
      </c>
      <c r="F30" s="34">
        <v>2</v>
      </c>
      <c r="G30" s="34">
        <v>1</v>
      </c>
      <c r="H30" s="34" t="s">
        <v>179</v>
      </c>
      <c r="I30" s="34">
        <v>1</v>
      </c>
      <c r="J30" s="34">
        <v>10</v>
      </c>
      <c r="K30" s="34">
        <v>0</v>
      </c>
      <c r="L30" s="34" t="s">
        <v>177</v>
      </c>
      <c r="M30" s="34" t="s">
        <v>192</v>
      </c>
      <c r="N30" s="34" t="s">
        <v>305</v>
      </c>
      <c r="O30" s="36" t="s">
        <v>193</v>
      </c>
      <c r="P30" s="36">
        <v>1</v>
      </c>
      <c r="Q30" s="34">
        <v>0</v>
      </c>
      <c r="R30" s="36" t="s">
        <v>231</v>
      </c>
      <c r="S30" s="36" t="s">
        <v>41</v>
      </c>
      <c r="T30" s="36" t="s">
        <v>41</v>
      </c>
    </row>
    <row r="31" spans="1:22" x14ac:dyDescent="0.3">
      <c r="A31" s="34">
        <v>50029</v>
      </c>
      <c r="B31" t="s">
        <v>189</v>
      </c>
      <c r="C31" s="34" t="s">
        <v>281</v>
      </c>
      <c r="D31" s="34" t="str">
        <f t="shared" si="12"/>
        <v>STR_MAP_S2_026</v>
      </c>
      <c r="E31" s="34" t="str">
        <f t="shared" si="13"/>
        <v>STR_MAP_S2_026_DESC</v>
      </c>
      <c r="F31" s="34">
        <v>2</v>
      </c>
      <c r="G31" s="34">
        <v>1</v>
      </c>
      <c r="H31" s="34" t="s">
        <v>103</v>
      </c>
      <c r="I31" s="34">
        <v>8.1999999999999993</v>
      </c>
      <c r="J31" s="34">
        <v>7.2</v>
      </c>
      <c r="K31" s="34">
        <v>0</v>
      </c>
      <c r="L31" s="34" t="s">
        <v>178</v>
      </c>
      <c r="M31" s="34" t="s">
        <v>184</v>
      </c>
      <c r="N31" s="34" t="s">
        <v>298</v>
      </c>
      <c r="O31" s="36" t="s">
        <v>188</v>
      </c>
      <c r="P31" s="36">
        <v>1</v>
      </c>
      <c r="Q31" s="34">
        <v>0</v>
      </c>
      <c r="R31" s="36" t="s">
        <v>231</v>
      </c>
      <c r="S31" s="36" t="s">
        <v>41</v>
      </c>
      <c r="T31" s="36" t="s">
        <v>41</v>
      </c>
      <c r="U31" s="36" t="s">
        <v>233</v>
      </c>
      <c r="V31" s="36" t="s">
        <v>234</v>
      </c>
    </row>
    <row r="32" spans="1:22" x14ac:dyDescent="0.3">
      <c r="A32" s="34">
        <v>50030</v>
      </c>
      <c r="B32" t="s">
        <v>241</v>
      </c>
      <c r="C32" s="34" t="s">
        <v>282</v>
      </c>
      <c r="D32" s="34" t="str">
        <f t="shared" ref="D32" si="14">"STR_"&amp;UPPER(C32)</f>
        <v>STR_MAP_S3_001</v>
      </c>
      <c r="E32" s="34" t="str">
        <f t="shared" ref="E32" si="15">D32&amp;"_DESC"</f>
        <v>STR_MAP_S3_001_DESC</v>
      </c>
      <c r="F32" s="34">
        <v>3</v>
      </c>
      <c r="G32" s="34">
        <v>2</v>
      </c>
      <c r="H32" s="34" t="s">
        <v>103</v>
      </c>
      <c r="I32" s="34">
        <v>3.5</v>
      </c>
      <c r="J32" s="34">
        <v>2.5</v>
      </c>
      <c r="K32" s="34">
        <v>0</v>
      </c>
      <c r="L32" s="34" t="s">
        <v>190</v>
      </c>
      <c r="M32" s="34" t="s">
        <v>191</v>
      </c>
      <c r="N32" s="34" t="s">
        <v>302</v>
      </c>
      <c r="O32" s="36" t="s">
        <v>194</v>
      </c>
      <c r="P32" s="36">
        <v>1</v>
      </c>
      <c r="Q32" s="34">
        <v>0</v>
      </c>
      <c r="R32" s="36" t="s">
        <v>235</v>
      </c>
      <c r="S32" s="36" t="s">
        <v>41</v>
      </c>
      <c r="T32" s="36" t="s">
        <v>41</v>
      </c>
      <c r="U32" s="36" t="s">
        <v>236</v>
      </c>
      <c r="V32" s="36" t="s">
        <v>237</v>
      </c>
    </row>
    <row r="33" spans="1:22" x14ac:dyDescent="0.3">
      <c r="A33" s="34">
        <v>50031</v>
      </c>
      <c r="B33" t="s">
        <v>195</v>
      </c>
      <c r="C33" s="34" t="s">
        <v>283</v>
      </c>
      <c r="D33" s="34" t="str">
        <f t="shared" ref="D33:D40" si="16">"STR_"&amp;UPPER(C33)</f>
        <v>STR_MAP_S3_002</v>
      </c>
      <c r="E33" s="34" t="str">
        <f t="shared" ref="E33:E40" si="17">D33&amp;"_DESC"</f>
        <v>STR_MAP_S3_002_DESC</v>
      </c>
      <c r="F33" s="34">
        <v>3</v>
      </c>
      <c r="G33" s="34">
        <v>2</v>
      </c>
      <c r="H33" s="34" t="s">
        <v>103</v>
      </c>
      <c r="I33" s="34">
        <v>4.0999999999999996</v>
      </c>
      <c r="J33" s="34">
        <v>3.1</v>
      </c>
      <c r="K33" s="34">
        <v>0</v>
      </c>
      <c r="L33" s="34" t="s">
        <v>196</v>
      </c>
      <c r="M33" s="34" t="s">
        <v>197</v>
      </c>
      <c r="N33" s="34" t="s">
        <v>306</v>
      </c>
      <c r="O33" s="36" t="s">
        <v>198</v>
      </c>
      <c r="P33" s="36">
        <v>1</v>
      </c>
      <c r="Q33" s="34">
        <v>0</v>
      </c>
      <c r="R33" s="36" t="s">
        <v>235</v>
      </c>
      <c r="S33" s="36" t="s">
        <v>41</v>
      </c>
      <c r="T33" s="36" t="s">
        <v>41</v>
      </c>
      <c r="U33" s="36" t="s">
        <v>236</v>
      </c>
      <c r="V33" s="36" t="s">
        <v>237</v>
      </c>
    </row>
    <row r="34" spans="1:22" x14ac:dyDescent="0.3">
      <c r="A34" s="34">
        <v>50032</v>
      </c>
      <c r="B34" t="s">
        <v>199</v>
      </c>
      <c r="C34" s="34" t="s">
        <v>284</v>
      </c>
      <c r="D34" s="34" t="str">
        <f t="shared" si="16"/>
        <v>STR_MAP_S3_003</v>
      </c>
      <c r="E34" s="34" t="str">
        <f t="shared" si="17"/>
        <v>STR_MAP_S3_003_DESC</v>
      </c>
      <c r="F34" s="34">
        <v>3</v>
      </c>
      <c r="G34" s="34">
        <v>2</v>
      </c>
      <c r="H34" s="34" t="s">
        <v>103</v>
      </c>
      <c r="I34" s="34">
        <v>7</v>
      </c>
      <c r="J34" s="34">
        <v>6</v>
      </c>
      <c r="K34" s="34">
        <v>0</v>
      </c>
      <c r="L34" s="34" t="s">
        <v>200</v>
      </c>
      <c r="M34" s="34" t="s">
        <v>201</v>
      </c>
      <c r="N34" s="34" t="s">
        <v>306</v>
      </c>
      <c r="O34" s="36" t="s">
        <v>202</v>
      </c>
      <c r="P34" s="36">
        <v>1</v>
      </c>
      <c r="Q34" s="34">
        <v>0</v>
      </c>
      <c r="R34" s="36" t="s">
        <v>235</v>
      </c>
      <c r="S34" s="36" t="s">
        <v>41</v>
      </c>
      <c r="T34" s="36" t="s">
        <v>41</v>
      </c>
      <c r="U34" s="36" t="s">
        <v>236</v>
      </c>
      <c r="V34" s="36" t="s">
        <v>237</v>
      </c>
    </row>
    <row r="35" spans="1:22" x14ac:dyDescent="0.3">
      <c r="A35" s="34">
        <v>50033</v>
      </c>
      <c r="B35" t="s">
        <v>203</v>
      </c>
      <c r="C35" s="34" t="s">
        <v>285</v>
      </c>
      <c r="D35" s="34" t="str">
        <f t="shared" si="16"/>
        <v>STR_MAP_S3_004</v>
      </c>
      <c r="E35" s="34" t="str">
        <f t="shared" si="17"/>
        <v>STR_MAP_S3_004_DESC</v>
      </c>
      <c r="F35" s="34">
        <v>3</v>
      </c>
      <c r="G35" s="34">
        <v>2</v>
      </c>
      <c r="H35" s="34" t="s">
        <v>103</v>
      </c>
      <c r="I35" s="34">
        <v>2</v>
      </c>
      <c r="J35" s="34">
        <v>1</v>
      </c>
      <c r="K35" s="34">
        <v>0</v>
      </c>
      <c r="L35" s="34" t="s">
        <v>204</v>
      </c>
      <c r="M35" s="34" t="s">
        <v>205</v>
      </c>
      <c r="N35" s="34" t="s">
        <v>302</v>
      </c>
      <c r="O35" s="36" t="s">
        <v>206</v>
      </c>
      <c r="P35" s="36">
        <v>1</v>
      </c>
      <c r="Q35" s="34">
        <v>0</v>
      </c>
      <c r="R35" s="36" t="s">
        <v>235</v>
      </c>
      <c r="S35" s="36" t="s">
        <v>41</v>
      </c>
      <c r="T35" s="36" t="s">
        <v>41</v>
      </c>
      <c r="U35" s="36" t="s">
        <v>236</v>
      </c>
      <c r="V35" s="36" t="s">
        <v>237</v>
      </c>
    </row>
    <row r="36" spans="1:22" x14ac:dyDescent="0.3">
      <c r="A36" s="34">
        <v>50034</v>
      </c>
      <c r="B36" t="s">
        <v>207</v>
      </c>
      <c r="C36" s="34" t="s">
        <v>286</v>
      </c>
      <c r="D36" s="34" t="str">
        <f t="shared" si="16"/>
        <v>STR_MAP_S3_005</v>
      </c>
      <c r="E36" s="34" t="str">
        <f t="shared" si="17"/>
        <v>STR_MAP_S3_005_DESC</v>
      </c>
      <c r="F36" s="34">
        <v>3</v>
      </c>
      <c r="G36" s="34">
        <v>2</v>
      </c>
      <c r="H36" s="34" t="s">
        <v>103</v>
      </c>
      <c r="I36" s="34">
        <v>5.8000000000000007</v>
      </c>
      <c r="J36" s="34">
        <v>4.8000000000000007</v>
      </c>
      <c r="K36" s="34">
        <v>0</v>
      </c>
      <c r="L36" s="34" t="s">
        <v>208</v>
      </c>
      <c r="M36" s="34" t="s">
        <v>209</v>
      </c>
      <c r="N36" s="34" t="s">
        <v>306</v>
      </c>
      <c r="O36" s="36" t="s">
        <v>210</v>
      </c>
      <c r="P36" s="36">
        <v>1</v>
      </c>
      <c r="Q36" s="34">
        <v>0</v>
      </c>
      <c r="R36" s="36" t="s">
        <v>235</v>
      </c>
      <c r="S36" s="36" t="s">
        <v>41</v>
      </c>
      <c r="T36" s="36" t="s">
        <v>41</v>
      </c>
      <c r="U36" s="36" t="s">
        <v>236</v>
      </c>
      <c r="V36" s="36" t="s">
        <v>237</v>
      </c>
    </row>
    <row r="37" spans="1:22" x14ac:dyDescent="0.3">
      <c r="A37" s="34">
        <v>50035</v>
      </c>
      <c r="B37" t="s">
        <v>211</v>
      </c>
      <c r="C37" s="34" t="s">
        <v>287</v>
      </c>
      <c r="D37" s="34" t="str">
        <f t="shared" si="16"/>
        <v>STR_MAP_S3_006</v>
      </c>
      <c r="E37" s="34" t="str">
        <f t="shared" si="17"/>
        <v>STR_MAP_S3_006_DESC</v>
      </c>
      <c r="F37" s="34">
        <v>3</v>
      </c>
      <c r="G37" s="34">
        <v>2</v>
      </c>
      <c r="H37" s="34" t="s">
        <v>103</v>
      </c>
      <c r="I37" s="34">
        <v>4.7</v>
      </c>
      <c r="J37" s="34">
        <v>3.7</v>
      </c>
      <c r="K37" s="34">
        <v>0</v>
      </c>
      <c r="L37" s="34" t="s">
        <v>212</v>
      </c>
      <c r="M37" s="34" t="s">
        <v>215</v>
      </c>
      <c r="N37" s="34" t="s">
        <v>306</v>
      </c>
      <c r="O37" s="36" t="s">
        <v>216</v>
      </c>
      <c r="P37" s="36">
        <v>1</v>
      </c>
      <c r="Q37" s="34">
        <v>0</v>
      </c>
      <c r="R37" s="36" t="s">
        <v>235</v>
      </c>
      <c r="S37" s="36" t="s">
        <v>41</v>
      </c>
      <c r="T37" s="36" t="s">
        <v>41</v>
      </c>
      <c r="U37" s="36" t="s">
        <v>236</v>
      </c>
      <c r="V37" s="36" t="s">
        <v>237</v>
      </c>
    </row>
    <row r="38" spans="1:22" x14ac:dyDescent="0.3">
      <c r="A38" s="34">
        <v>50036</v>
      </c>
      <c r="B38" t="s">
        <v>213</v>
      </c>
      <c r="C38" s="34" t="s">
        <v>288</v>
      </c>
      <c r="D38" s="34" t="str">
        <f t="shared" si="16"/>
        <v>STR_MAP_S3_007</v>
      </c>
      <c r="E38" s="34" t="str">
        <f t="shared" si="17"/>
        <v>STR_MAP_S3_007_DESC</v>
      </c>
      <c r="F38" s="34">
        <v>3</v>
      </c>
      <c r="G38" s="34">
        <v>2</v>
      </c>
      <c r="H38" s="34" t="s">
        <v>103</v>
      </c>
      <c r="I38" s="34">
        <v>5.8000000000000007</v>
      </c>
      <c r="J38" s="34">
        <v>4.8000000000000007</v>
      </c>
      <c r="K38" s="34">
        <v>0</v>
      </c>
      <c r="L38" s="34" t="s">
        <v>214</v>
      </c>
      <c r="M38" s="34" t="s">
        <v>218</v>
      </c>
      <c r="N38" s="34" t="s">
        <v>306</v>
      </c>
      <c r="O38" s="36" t="s">
        <v>219</v>
      </c>
      <c r="P38" s="36">
        <v>1</v>
      </c>
      <c r="Q38" s="34">
        <v>0</v>
      </c>
      <c r="R38" s="36" t="s">
        <v>235</v>
      </c>
      <c r="S38" s="36" t="s">
        <v>41</v>
      </c>
      <c r="T38" s="36" t="s">
        <v>41</v>
      </c>
      <c r="U38" s="36" t="s">
        <v>236</v>
      </c>
      <c r="V38" s="36" t="s">
        <v>237</v>
      </c>
    </row>
    <row r="39" spans="1:22" x14ac:dyDescent="0.3">
      <c r="A39" s="34">
        <v>50037</v>
      </c>
      <c r="B39" t="s">
        <v>242</v>
      </c>
      <c r="C39" s="34" t="s">
        <v>289</v>
      </c>
      <c r="D39" s="34" t="str">
        <f t="shared" si="16"/>
        <v>STR_MAP_S3_008</v>
      </c>
      <c r="E39" s="34" t="str">
        <f t="shared" si="17"/>
        <v>STR_MAP_S3_008_DESC</v>
      </c>
      <c r="F39" s="34">
        <v>3</v>
      </c>
      <c r="G39" s="34">
        <v>2</v>
      </c>
      <c r="H39" s="34" t="s">
        <v>103</v>
      </c>
      <c r="I39" s="34">
        <v>6.6000000000000005</v>
      </c>
      <c r="J39" s="34">
        <v>5.6000000000000005</v>
      </c>
      <c r="K39" s="34">
        <v>0</v>
      </c>
      <c r="L39" s="34" t="s">
        <v>217</v>
      </c>
      <c r="M39" s="34" t="s">
        <v>221</v>
      </c>
      <c r="N39" s="34" t="s">
        <v>302</v>
      </c>
      <c r="O39" s="36" t="s">
        <v>222</v>
      </c>
      <c r="P39" s="36">
        <v>1</v>
      </c>
      <c r="Q39" s="34">
        <v>0</v>
      </c>
      <c r="R39" s="36" t="s">
        <v>235</v>
      </c>
      <c r="S39" s="36" t="s">
        <v>41</v>
      </c>
      <c r="T39" s="36" t="s">
        <v>41</v>
      </c>
      <c r="U39" s="36" t="s">
        <v>236</v>
      </c>
      <c r="V39" s="36" t="s">
        <v>237</v>
      </c>
    </row>
    <row r="40" spans="1:22" x14ac:dyDescent="0.3">
      <c r="A40" s="34">
        <v>50038</v>
      </c>
      <c r="B40" t="s">
        <v>243</v>
      </c>
      <c r="C40" s="34" t="s">
        <v>290</v>
      </c>
      <c r="D40" s="34" t="str">
        <f t="shared" si="16"/>
        <v>STR_MAP_S3_009</v>
      </c>
      <c r="E40" s="34" t="str">
        <f t="shared" si="17"/>
        <v>STR_MAP_S3_009_DESC</v>
      </c>
      <c r="F40" s="34">
        <v>3</v>
      </c>
      <c r="G40" s="34">
        <v>2</v>
      </c>
      <c r="H40" s="34" t="s">
        <v>103</v>
      </c>
      <c r="I40" s="34">
        <v>8.6999999999999993</v>
      </c>
      <c r="J40" s="34">
        <v>7.7</v>
      </c>
      <c r="K40" s="34">
        <v>0</v>
      </c>
      <c r="L40" s="34" t="s">
        <v>220</v>
      </c>
      <c r="M40" s="34" t="s">
        <v>224</v>
      </c>
      <c r="N40" s="34" t="s">
        <v>302</v>
      </c>
      <c r="O40" s="36" t="s">
        <v>223</v>
      </c>
      <c r="P40" s="36">
        <v>1</v>
      </c>
      <c r="Q40" s="34">
        <v>0</v>
      </c>
      <c r="R40" s="36" t="s">
        <v>235</v>
      </c>
      <c r="S40" s="36" t="s">
        <v>41</v>
      </c>
      <c r="T40" s="36" t="s">
        <v>41</v>
      </c>
      <c r="U40" s="36" t="s">
        <v>236</v>
      </c>
      <c r="V40" s="36" t="s">
        <v>237</v>
      </c>
    </row>
    <row r="41" spans="1:22" x14ac:dyDescent="0.3">
      <c r="A41" s="34">
        <v>50039</v>
      </c>
      <c r="B41" t="s">
        <v>244</v>
      </c>
      <c r="C41" s="34" t="s">
        <v>291</v>
      </c>
      <c r="D41" s="34" t="str">
        <f t="shared" ref="D41" si="18">"STR_"&amp;UPPER(C41)</f>
        <v>STR_MAP_S3_010</v>
      </c>
      <c r="E41" s="34" t="str">
        <f t="shared" ref="E41" si="19">D41&amp;"_DESC"</f>
        <v>STR_MAP_S3_010_DESC</v>
      </c>
      <c r="F41" s="34">
        <v>3</v>
      </c>
      <c r="G41" s="34">
        <v>2</v>
      </c>
      <c r="H41" s="34" t="s">
        <v>103</v>
      </c>
      <c r="I41" s="34">
        <v>4.4000000000000004</v>
      </c>
      <c r="J41" s="34">
        <v>3.4000000000000004</v>
      </c>
      <c r="K41" s="34">
        <v>0</v>
      </c>
      <c r="L41" s="34" t="s">
        <v>225</v>
      </c>
      <c r="M41" s="34" t="s">
        <v>215</v>
      </c>
      <c r="N41" s="34" t="s">
        <v>302</v>
      </c>
      <c r="O41" s="36" t="s">
        <v>216</v>
      </c>
      <c r="P41" s="36">
        <v>1</v>
      </c>
      <c r="Q41" s="34">
        <v>0</v>
      </c>
      <c r="R41" s="36" t="s">
        <v>235</v>
      </c>
      <c r="S41" s="36" t="s">
        <v>41</v>
      </c>
      <c r="T41" s="36" t="s">
        <v>41</v>
      </c>
      <c r="U41" s="36" t="s">
        <v>236</v>
      </c>
      <c r="V41" s="36" t="s">
        <v>237</v>
      </c>
    </row>
    <row r="42" spans="1:22" x14ac:dyDescent="0.3">
      <c r="A42" s="34">
        <v>50040</v>
      </c>
      <c r="B42" t="s">
        <v>245</v>
      </c>
      <c r="C42" s="34" t="s">
        <v>292</v>
      </c>
      <c r="D42" s="34" t="str">
        <f t="shared" ref="D42:D43" si="20">"STR_"&amp;UPPER(C42)</f>
        <v>STR_MAP_S3_011</v>
      </c>
      <c r="E42" s="34" t="str">
        <f t="shared" ref="E42:E43" si="21">D42&amp;"_DESC"</f>
        <v>STR_MAP_S3_011_DESC</v>
      </c>
      <c r="F42" s="34">
        <v>3</v>
      </c>
      <c r="G42" s="36">
        <v>2</v>
      </c>
      <c r="H42" s="34" t="s">
        <v>179</v>
      </c>
      <c r="I42" s="34">
        <v>1</v>
      </c>
      <c r="J42" s="34">
        <v>10</v>
      </c>
      <c r="K42" s="34">
        <v>0</v>
      </c>
      <c r="L42" s="34" t="s">
        <v>226</v>
      </c>
      <c r="M42" s="34" t="s">
        <v>192</v>
      </c>
      <c r="N42" s="34" t="s">
        <v>305</v>
      </c>
      <c r="O42" s="36" t="s">
        <v>193</v>
      </c>
      <c r="P42" s="36">
        <v>1</v>
      </c>
      <c r="Q42" s="36">
        <v>0</v>
      </c>
      <c r="R42" s="36" t="s">
        <v>235</v>
      </c>
      <c r="U42" s="36" t="s">
        <v>236</v>
      </c>
      <c r="V42" s="36" t="s">
        <v>237</v>
      </c>
    </row>
    <row r="43" spans="1:22" x14ac:dyDescent="0.3">
      <c r="A43" s="34">
        <v>50041</v>
      </c>
      <c r="B43" t="s">
        <v>246</v>
      </c>
      <c r="C43" s="34" t="s">
        <v>293</v>
      </c>
      <c r="D43" s="34" t="str">
        <f t="shared" si="20"/>
        <v>STR_MAP_S3_012</v>
      </c>
      <c r="E43" s="34" t="str">
        <f t="shared" si="21"/>
        <v>STR_MAP_S3_012_DESC</v>
      </c>
      <c r="F43" s="34">
        <v>3</v>
      </c>
      <c r="G43" s="36">
        <v>2</v>
      </c>
      <c r="H43" s="34" t="s">
        <v>130</v>
      </c>
      <c r="I43" s="34">
        <v>5.7</v>
      </c>
      <c r="J43" s="34">
        <v>4.7</v>
      </c>
      <c r="K43" s="34">
        <v>0</v>
      </c>
      <c r="L43" s="34" t="s">
        <v>227</v>
      </c>
      <c r="M43" s="34" t="s">
        <v>228</v>
      </c>
      <c r="N43" s="34" t="s">
        <v>303</v>
      </c>
      <c r="O43" s="36" t="s">
        <v>229</v>
      </c>
      <c r="P43" s="36">
        <v>1</v>
      </c>
      <c r="Q43" s="34">
        <v>0</v>
      </c>
      <c r="R43" s="36" t="s">
        <v>235</v>
      </c>
      <c r="S43" s="36" t="s">
        <v>41</v>
      </c>
      <c r="T43" s="36" t="s">
        <v>41</v>
      </c>
    </row>
    <row r="44" spans="1:22" x14ac:dyDescent="0.3">
      <c r="A44" s="34">
        <v>50042</v>
      </c>
      <c r="B44" t="s">
        <v>250</v>
      </c>
      <c r="C44" s="34" t="s">
        <v>294</v>
      </c>
      <c r="D44" s="34" t="str">
        <f t="shared" ref="D44:D47" si="22">"STR_"&amp;UPPER(C44)</f>
        <v>STR_MAP_S3_013</v>
      </c>
      <c r="E44" s="34" t="str">
        <f t="shared" ref="E44:E47" si="23">D44&amp;"_DESC"</f>
        <v>STR_MAP_S3_013_DESC</v>
      </c>
      <c r="F44" s="34">
        <v>3</v>
      </c>
      <c r="G44" s="36">
        <v>2</v>
      </c>
      <c r="H44" s="34" t="s">
        <v>130</v>
      </c>
      <c r="I44" s="34">
        <v>5.7</v>
      </c>
      <c r="J44" s="34">
        <v>4.7</v>
      </c>
      <c r="K44" s="34">
        <v>0</v>
      </c>
      <c r="L44" s="34" t="s">
        <v>253</v>
      </c>
      <c r="M44" s="34" t="s">
        <v>228</v>
      </c>
      <c r="N44" s="34" t="s">
        <v>303</v>
      </c>
      <c r="O44" s="36" t="s">
        <v>229</v>
      </c>
      <c r="P44" s="36">
        <v>1</v>
      </c>
      <c r="Q44" s="34">
        <v>0</v>
      </c>
      <c r="R44" s="36" t="s">
        <v>235</v>
      </c>
      <c r="S44" s="36" t="s">
        <v>41</v>
      </c>
      <c r="T44" s="36" t="s">
        <v>41</v>
      </c>
    </row>
    <row r="45" spans="1:22" x14ac:dyDescent="0.3">
      <c r="A45" s="34">
        <v>50043</v>
      </c>
      <c r="B45" t="s">
        <v>251</v>
      </c>
      <c r="C45" s="34" t="s">
        <v>295</v>
      </c>
      <c r="D45" s="34" t="str">
        <f t="shared" si="22"/>
        <v>STR_MAP_S3_014</v>
      </c>
      <c r="E45" s="34" t="str">
        <f t="shared" si="23"/>
        <v>STR_MAP_S3_014_DESC</v>
      </c>
      <c r="F45" s="34">
        <v>3</v>
      </c>
      <c r="G45" s="36">
        <v>2</v>
      </c>
      <c r="H45" s="34" t="s">
        <v>134</v>
      </c>
      <c r="I45" s="34">
        <v>5.7</v>
      </c>
      <c r="J45" s="34">
        <v>4.7</v>
      </c>
      <c r="K45" s="34">
        <v>0</v>
      </c>
      <c r="L45" s="34" t="s">
        <v>254</v>
      </c>
      <c r="M45" s="34" t="s">
        <v>228</v>
      </c>
      <c r="N45" s="34" t="s">
        <v>304</v>
      </c>
      <c r="O45" s="36" t="s">
        <v>229</v>
      </c>
      <c r="P45" s="36">
        <v>1</v>
      </c>
      <c r="Q45" s="34">
        <v>0</v>
      </c>
      <c r="R45" s="36" t="s">
        <v>235</v>
      </c>
      <c r="S45" s="36" t="s">
        <v>41</v>
      </c>
      <c r="T45" s="36" t="s">
        <v>41</v>
      </c>
      <c r="U45" s="36" t="s">
        <v>236</v>
      </c>
      <c r="V45" s="36" t="s">
        <v>237</v>
      </c>
    </row>
    <row r="46" spans="1:22" x14ac:dyDescent="0.3">
      <c r="A46" s="34">
        <v>50044</v>
      </c>
      <c r="B46" t="s">
        <v>252</v>
      </c>
      <c r="C46" s="34" t="s">
        <v>296</v>
      </c>
      <c r="D46" s="34" t="str">
        <f t="shared" si="22"/>
        <v>STR_MAP_S3_015</v>
      </c>
      <c r="E46" s="34" t="str">
        <f t="shared" si="23"/>
        <v>STR_MAP_S3_015_DESC</v>
      </c>
      <c r="F46" s="34">
        <v>3</v>
      </c>
      <c r="G46" s="36">
        <v>2</v>
      </c>
      <c r="H46" s="34" t="s">
        <v>130</v>
      </c>
      <c r="I46" s="34">
        <v>5.7</v>
      </c>
      <c r="J46" s="34">
        <v>4.7</v>
      </c>
      <c r="K46" s="34">
        <v>0</v>
      </c>
      <c r="L46" s="34" t="s">
        <v>255</v>
      </c>
      <c r="M46" s="34" t="s">
        <v>228</v>
      </c>
      <c r="N46" s="34" t="s">
        <v>303</v>
      </c>
      <c r="O46" s="36" t="s">
        <v>229</v>
      </c>
      <c r="P46" s="36">
        <v>1</v>
      </c>
      <c r="Q46" s="34">
        <v>0</v>
      </c>
      <c r="R46" s="36" t="s">
        <v>235</v>
      </c>
      <c r="S46" s="36" t="s">
        <v>41</v>
      </c>
      <c r="T46" s="36" t="s">
        <v>41</v>
      </c>
    </row>
    <row r="47" spans="1:22" x14ac:dyDescent="0.3">
      <c r="A47" s="34">
        <v>50045</v>
      </c>
      <c r="B47" s="35" t="s">
        <v>307</v>
      </c>
      <c r="C47" s="34" t="s">
        <v>308</v>
      </c>
      <c r="D47" s="34" t="str">
        <f t="shared" si="22"/>
        <v>STR_MAP_S1_005</v>
      </c>
      <c r="E47" s="34" t="str">
        <f t="shared" si="23"/>
        <v>STR_MAP_S1_005_DESC</v>
      </c>
      <c r="F47" s="34">
        <v>1</v>
      </c>
      <c r="G47" s="34">
        <v>99</v>
      </c>
      <c r="H47" s="34" t="s">
        <v>103</v>
      </c>
      <c r="I47" s="34">
        <v>8.8000000000000007</v>
      </c>
      <c r="J47" s="34">
        <v>7.8000000000000007</v>
      </c>
      <c r="K47" s="34">
        <v>0</v>
      </c>
      <c r="L47" s="34" t="s">
        <v>309</v>
      </c>
      <c r="M47" s="34" t="s">
        <v>91</v>
      </c>
      <c r="N47" s="34" t="s">
        <v>333</v>
      </c>
      <c r="O47" s="36" t="s">
        <v>90</v>
      </c>
      <c r="P47" s="36">
        <v>1</v>
      </c>
      <c r="Q47" s="34">
        <v>0</v>
      </c>
      <c r="R47" s="36" t="s">
        <v>230</v>
      </c>
      <c r="S47" s="36" t="s">
        <v>41</v>
      </c>
      <c r="T47" s="36" t="s">
        <v>41</v>
      </c>
    </row>
    <row r="48" spans="1:22" x14ac:dyDescent="0.3">
      <c r="A48" s="34">
        <v>50046</v>
      </c>
      <c r="B48" s="36" t="s">
        <v>310</v>
      </c>
      <c r="C48" s="34" t="s">
        <v>315</v>
      </c>
      <c r="D48" s="34" t="str">
        <f t="shared" ref="D48:D52" si="24">"STR_"&amp;UPPER(C48)</f>
        <v>STR_MAP_S1_006</v>
      </c>
      <c r="E48" s="34" t="str">
        <f t="shared" ref="E48:E52" si="25">D48&amp;"_DESC"</f>
        <v>STR_MAP_S1_006_DESC</v>
      </c>
      <c r="F48" s="34">
        <v>1</v>
      </c>
      <c r="G48" s="34">
        <v>99</v>
      </c>
      <c r="H48" s="34" t="s">
        <v>130</v>
      </c>
      <c r="I48" s="34">
        <v>8.8000000000000007</v>
      </c>
      <c r="J48" s="34">
        <v>7.8000000000000007</v>
      </c>
      <c r="K48" s="34">
        <v>0</v>
      </c>
      <c r="L48" s="34" t="s">
        <v>321</v>
      </c>
      <c r="M48" s="34" t="s">
        <v>327</v>
      </c>
      <c r="N48" s="34" t="s">
        <v>333</v>
      </c>
      <c r="O48" s="36" t="s">
        <v>328</v>
      </c>
      <c r="P48" s="36">
        <v>1</v>
      </c>
      <c r="Q48" s="34">
        <v>0</v>
      </c>
      <c r="R48" s="36" t="s">
        <v>329</v>
      </c>
      <c r="S48" s="36" t="s">
        <v>41</v>
      </c>
      <c r="T48" s="36" t="s">
        <v>41</v>
      </c>
    </row>
    <row r="49" spans="1:20" x14ac:dyDescent="0.3">
      <c r="A49" s="34">
        <v>50047</v>
      </c>
      <c r="B49" s="36" t="s">
        <v>311</v>
      </c>
      <c r="C49" s="34" t="s">
        <v>316</v>
      </c>
      <c r="D49" s="34" t="str">
        <f t="shared" si="24"/>
        <v>STR_MAP_S1_007</v>
      </c>
      <c r="E49" s="34" t="str">
        <f t="shared" si="25"/>
        <v>STR_MAP_S1_007_DESC</v>
      </c>
      <c r="F49" s="34">
        <v>1</v>
      </c>
      <c r="G49" s="34">
        <v>99</v>
      </c>
      <c r="H49" s="34" t="s">
        <v>130</v>
      </c>
      <c r="I49" s="34">
        <v>8.8000000000000007</v>
      </c>
      <c r="J49" s="34">
        <v>7.8000000000000007</v>
      </c>
      <c r="K49" s="34">
        <v>0</v>
      </c>
      <c r="L49" s="34" t="s">
        <v>322</v>
      </c>
      <c r="M49" s="34" t="s">
        <v>327</v>
      </c>
      <c r="N49" s="34" t="s">
        <v>333</v>
      </c>
      <c r="O49" s="36" t="s">
        <v>328</v>
      </c>
      <c r="P49" s="36">
        <v>1</v>
      </c>
      <c r="Q49" s="34">
        <v>0</v>
      </c>
      <c r="R49" s="36" t="s">
        <v>329</v>
      </c>
      <c r="S49" s="36" t="s">
        <v>41</v>
      </c>
      <c r="T49" s="36" t="s">
        <v>41</v>
      </c>
    </row>
    <row r="50" spans="1:20" x14ac:dyDescent="0.3">
      <c r="A50" s="34">
        <v>50048</v>
      </c>
      <c r="B50" s="36" t="s">
        <v>314</v>
      </c>
      <c r="C50" s="34" t="s">
        <v>317</v>
      </c>
      <c r="D50" s="34" t="str">
        <f t="shared" ref="D50" si="26">"STR_"&amp;UPPER(C50)</f>
        <v>STR_MAP_S1_008</v>
      </c>
      <c r="E50" s="34" t="str">
        <f t="shared" ref="E50" si="27">D50&amp;"_DESC"</f>
        <v>STR_MAP_S1_008_DESC</v>
      </c>
      <c r="F50" s="34">
        <v>1</v>
      </c>
      <c r="G50" s="34">
        <v>99</v>
      </c>
      <c r="H50" s="34" t="s">
        <v>130</v>
      </c>
      <c r="I50" s="34">
        <v>8.8000000000000007</v>
      </c>
      <c r="J50" s="34">
        <v>7.8000000000000007</v>
      </c>
      <c r="K50" s="34">
        <v>0</v>
      </c>
      <c r="L50" s="34" t="s">
        <v>323</v>
      </c>
      <c r="M50" s="34" t="s">
        <v>327</v>
      </c>
      <c r="N50" s="34" t="s">
        <v>333</v>
      </c>
      <c r="O50" s="36" t="s">
        <v>328</v>
      </c>
      <c r="P50" s="36">
        <v>1</v>
      </c>
      <c r="Q50" s="34">
        <v>0</v>
      </c>
      <c r="R50" s="36" t="s">
        <v>329</v>
      </c>
      <c r="S50" s="36" t="s">
        <v>41</v>
      </c>
      <c r="T50" s="36" t="s">
        <v>41</v>
      </c>
    </row>
    <row r="51" spans="1:20" x14ac:dyDescent="0.3">
      <c r="A51" s="34">
        <v>50049</v>
      </c>
      <c r="B51" s="36" t="s">
        <v>312</v>
      </c>
      <c r="C51" s="34" t="s">
        <v>318</v>
      </c>
      <c r="D51" s="34" t="str">
        <f t="shared" si="24"/>
        <v>STR_MAP_S1_009</v>
      </c>
      <c r="E51" s="34" t="str">
        <f t="shared" si="25"/>
        <v>STR_MAP_S1_009_DESC</v>
      </c>
      <c r="F51" s="34">
        <v>1</v>
      </c>
      <c r="G51" s="34">
        <v>99</v>
      </c>
      <c r="H51" s="34" t="s">
        <v>103</v>
      </c>
      <c r="I51" s="34">
        <v>8.8000000000000007</v>
      </c>
      <c r="J51" s="34">
        <v>7.8000000000000007</v>
      </c>
      <c r="K51" s="34">
        <v>0</v>
      </c>
      <c r="L51" s="34" t="s">
        <v>324</v>
      </c>
      <c r="M51" s="34" t="s">
        <v>327</v>
      </c>
      <c r="N51" s="34" t="s">
        <v>334</v>
      </c>
      <c r="O51" s="36" t="s">
        <v>328</v>
      </c>
      <c r="P51" s="36">
        <v>1</v>
      </c>
      <c r="Q51" s="34">
        <v>0</v>
      </c>
      <c r="R51" s="36" t="s">
        <v>329</v>
      </c>
      <c r="S51" s="36" t="s">
        <v>41</v>
      </c>
      <c r="T51" s="36" t="s">
        <v>41</v>
      </c>
    </row>
    <row r="52" spans="1:20" x14ac:dyDescent="0.3">
      <c r="A52" s="34">
        <v>50050</v>
      </c>
      <c r="B52" s="36" t="s">
        <v>313</v>
      </c>
      <c r="C52" s="34" t="s">
        <v>319</v>
      </c>
      <c r="D52" s="34" t="str">
        <f t="shared" si="24"/>
        <v>STR_MAP_S1_010</v>
      </c>
      <c r="E52" s="34" t="str">
        <f t="shared" si="25"/>
        <v>STR_MAP_S1_010_DESC</v>
      </c>
      <c r="F52" s="34">
        <v>1</v>
      </c>
      <c r="G52" s="34">
        <v>99</v>
      </c>
      <c r="H52" s="34" t="s">
        <v>103</v>
      </c>
      <c r="I52" s="34">
        <v>8.8000000000000007</v>
      </c>
      <c r="J52" s="34">
        <v>7.8000000000000007</v>
      </c>
      <c r="K52" s="34">
        <v>0</v>
      </c>
      <c r="L52" s="34" t="s">
        <v>325</v>
      </c>
      <c r="M52" s="34" t="s">
        <v>327</v>
      </c>
      <c r="N52" s="34" t="s">
        <v>334</v>
      </c>
      <c r="O52" s="36" t="s">
        <v>328</v>
      </c>
      <c r="P52" s="36">
        <v>1</v>
      </c>
      <c r="Q52" s="34">
        <v>0</v>
      </c>
      <c r="R52" s="36" t="s">
        <v>329</v>
      </c>
      <c r="S52" s="36" t="s">
        <v>41</v>
      </c>
      <c r="T52" s="36" t="s">
        <v>41</v>
      </c>
    </row>
    <row r="53" spans="1:20" x14ac:dyDescent="0.3">
      <c r="A53" s="34">
        <v>50051</v>
      </c>
      <c r="B53" s="36" t="s">
        <v>313</v>
      </c>
      <c r="C53" s="34" t="s">
        <v>320</v>
      </c>
      <c r="D53" s="34" t="str">
        <f t="shared" ref="D53:D54" si="28">"STR_"&amp;UPPER(C53)</f>
        <v>STR_MAP_S1_011</v>
      </c>
      <c r="E53" s="34" t="str">
        <f t="shared" ref="E53:E54" si="29">D53&amp;"_DESC"</f>
        <v>STR_MAP_S1_011_DESC</v>
      </c>
      <c r="F53" s="34">
        <v>1</v>
      </c>
      <c r="G53" s="34">
        <v>99</v>
      </c>
      <c r="H53" s="34" t="s">
        <v>103</v>
      </c>
      <c r="I53" s="34">
        <v>8.8000000000000007</v>
      </c>
      <c r="J53" s="34">
        <v>7.8000000000000007</v>
      </c>
      <c r="K53" s="34">
        <v>0</v>
      </c>
      <c r="L53" s="34" t="s">
        <v>326</v>
      </c>
      <c r="M53" s="34" t="s">
        <v>327</v>
      </c>
      <c r="N53" s="34" t="s">
        <v>334</v>
      </c>
      <c r="O53" s="36" t="s">
        <v>328</v>
      </c>
      <c r="P53" s="36">
        <v>1</v>
      </c>
      <c r="Q53" s="34">
        <v>0</v>
      </c>
      <c r="R53" s="36" t="s">
        <v>329</v>
      </c>
      <c r="S53" s="36" t="s">
        <v>41</v>
      </c>
      <c r="T53" s="36" t="s">
        <v>41</v>
      </c>
    </row>
    <row r="54" spans="1:20" x14ac:dyDescent="0.3">
      <c r="A54" s="34">
        <v>50052</v>
      </c>
      <c r="B54" s="36" t="s">
        <v>330</v>
      </c>
      <c r="C54" s="34" t="s">
        <v>331</v>
      </c>
      <c r="D54" s="34" t="str">
        <f t="shared" si="28"/>
        <v>STR_MAP_S1_012</v>
      </c>
      <c r="E54" s="34" t="str">
        <f t="shared" si="29"/>
        <v>STR_MAP_S1_012_DESC</v>
      </c>
      <c r="F54" s="34">
        <v>1</v>
      </c>
      <c r="G54" s="34">
        <v>99</v>
      </c>
      <c r="H54" s="34" t="s">
        <v>130</v>
      </c>
      <c r="I54" s="34">
        <v>8.8000000000000007</v>
      </c>
      <c r="J54" s="34">
        <v>7.8000000000000007</v>
      </c>
      <c r="K54" s="34">
        <v>0</v>
      </c>
      <c r="L54" s="34" t="s">
        <v>332</v>
      </c>
      <c r="M54" s="34" t="s">
        <v>327</v>
      </c>
      <c r="N54" s="34" t="s">
        <v>335</v>
      </c>
      <c r="O54" s="36" t="s">
        <v>328</v>
      </c>
      <c r="P54" s="36">
        <v>1</v>
      </c>
      <c r="Q54" s="34">
        <v>0</v>
      </c>
      <c r="R54" s="36" t="s">
        <v>329</v>
      </c>
      <c r="S54" s="36" t="s">
        <v>41</v>
      </c>
      <c r="T54" s="36" t="s">
        <v>41</v>
      </c>
    </row>
  </sheetData>
  <autoFilter ref="A1:T2"/>
  <phoneticPr fontId="1" type="noConversion"/>
  <pageMargins left="0.7" right="0.7" top="0.75" bottom="0.75" header="0.3" footer="0.3"/>
  <pageSetup paperSize="9"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whole" allowBlank="1" showInputMessage="1" showErrorMessage="1">
          <x14:formula1>
            <xm:f>Definition!#REF!</xm:f>
          </x14:formula1>
          <x14:formula2>
            <xm:f>Definition!#REF!</xm:f>
          </x14:formula2>
          <xm:sqref>G6 G8:G10 G12:G26 G28</xm:sqref>
        </x14:dataValidation>
        <x14:dataValidation type="list" allowBlank="1" showInputMessage="1" showErrorMessage="1">
          <x14:formula1>
            <xm:f>Type!$A$2:$A$101</xm:f>
          </x14:formula1>
          <xm:sqref>H1:H1048576</xm:sqref>
        </x14:dataValidation>
        <x14:dataValidation type="whole" allowBlank="1" showInputMessage="1" showErrorMessage="1">
          <x14:formula1>
            <xm:f>Definition!F18</xm:f>
          </x14:formula1>
          <x14:formula2>
            <xm:f>Definition!G18</xm:f>
          </x14:formula2>
          <xm:sqref>G7</xm:sqref>
        </x14:dataValidation>
        <x14:dataValidation type="whole" allowBlank="1" showInputMessage="1" showErrorMessage="1">
          <x14:formula1>
            <xm:f>Definition!F12</xm:f>
          </x14:formula1>
          <x14:formula2>
            <xm:f>Definition!G12</xm:f>
          </x14:formula2>
          <xm:sqref>G11 G29:G41 G27</xm:sqref>
        </x14:dataValidation>
        <x14:dataValidation type="whole" allowBlank="1" showInputMessage="1" showErrorMessage="1">
          <x14:formula1>
            <xm:f>Definition!F10</xm:f>
          </x14:formula1>
          <x14:formula2>
            <xm:f>Definition!G10</xm:f>
          </x14:formula2>
          <xm:sqref>I2:I54</xm:sqref>
        </x14:dataValidation>
        <x14:dataValidation type="whole" allowBlank="1" showInputMessage="1" showErrorMessage="1">
          <x14:formula1>
            <xm:f>Definition!F8</xm:f>
          </x14:formula1>
          <x14:formula2>
            <xm:f>Definition!G8</xm:f>
          </x14:formula2>
          <xm:sqref>G2:G5 G47:G54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80"/>
  <sheetViews>
    <sheetView workbookViewId="0">
      <selection activeCell="A8" sqref="A8"/>
    </sheetView>
  </sheetViews>
  <sheetFormatPr defaultRowHeight="16.5" x14ac:dyDescent="0.3"/>
  <sheetData>
    <row r="1" spans="1:16" x14ac:dyDescent="0.3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 t="s">
        <v>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1" t="s">
        <v>103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 t="s">
        <v>131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 t="s">
        <v>133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 t="s">
        <v>135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 t="s">
        <v>180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DOC History</vt:lpstr>
      <vt:lpstr>Definition</vt:lpstr>
      <vt:lpstr>Data</vt:lpstr>
      <vt:lpstr>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cp:lastPrinted>2014-11-19T16:49:27Z</cp:lastPrinted>
  <dcterms:created xsi:type="dcterms:W3CDTF">2013-05-14T06:15:02Z</dcterms:created>
  <dcterms:modified xsi:type="dcterms:W3CDTF">2016-11-20T18:12:07Z</dcterms:modified>
</cp:coreProperties>
</file>