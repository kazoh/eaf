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31" i="8" l="1"/>
  <c r="E30" i="8"/>
  <c r="E28" i="8" l="1"/>
  <c r="E29" i="8"/>
  <c r="E27" i="8"/>
  <c r="E52" i="8" l="1"/>
  <c r="E53" i="8"/>
  <c r="E50" i="8" l="1"/>
  <c r="E51" i="8"/>
  <c r="E49" i="8"/>
  <c r="E47" i="8"/>
  <c r="E48" i="8"/>
  <c r="D45" i="8"/>
  <c r="E45" i="8" s="1"/>
  <c r="D44" i="8"/>
  <c r="E44" i="8" s="1"/>
  <c r="E25" i="8" l="1"/>
  <c r="E26" i="8" l="1"/>
  <c r="E24" i="8"/>
  <c r="E23" i="8"/>
  <c r="E21" i="8" l="1"/>
  <c r="E22" i="8"/>
  <c r="D36" i="8" l="1"/>
  <c r="E36" i="8" s="1"/>
  <c r="D37" i="8"/>
  <c r="E37" i="8" s="1"/>
  <c r="D38" i="8"/>
  <c r="E38" i="8" s="1"/>
  <c r="D39" i="8"/>
  <c r="E39" i="8" s="1"/>
  <c r="D40" i="8"/>
  <c r="E40" i="8" s="1"/>
  <c r="D41" i="8"/>
  <c r="E41" i="8" s="1"/>
  <c r="D42" i="8"/>
  <c r="E42" i="8" s="1"/>
  <c r="D43" i="8"/>
  <c r="E43" i="8" s="1"/>
  <c r="D35" i="8"/>
  <c r="E35" i="8" s="1"/>
  <c r="E20" i="8" l="1"/>
  <c r="D34" i="8" l="1"/>
  <c r="E34" i="8" s="1"/>
  <c r="E19" i="8" l="1"/>
  <c r="E18" i="8" l="1"/>
  <c r="E46" i="8" l="1"/>
  <c r="E16" i="8" l="1"/>
  <c r="E17" i="8"/>
  <c r="E14" i="8"/>
  <c r="E15" i="8"/>
  <c r="E10" i="8"/>
  <c r="E11" i="8"/>
  <c r="E12" i="8"/>
  <c r="E13" i="8"/>
  <c r="D33" i="8" l="1"/>
  <c r="E33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32" i="8" l="1"/>
  <c r="E32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<sst xmlns="http://schemas.openxmlformats.org/spreadsheetml/2006/main" count="539" uniqueCount="401">
  <si>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</si>
  <si>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</si>
  <si>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</si>
  <si>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</si>
  <si>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</si>
  <si>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</si>
  <si>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</si>
  <si>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</si>
  <si>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</si>
  <si>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</si>
  <si>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</si>
  <si>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</si>
  <si>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</si>
  <si>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</si>
  <si>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</si>
  <si>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</si>
  <si>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</si>
  <si>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</si>
  <si>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</si>
  <si>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</si>
  <si>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</si>
  <si>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</si>
  <si>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</si>
  <si>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</si>
  <si>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</si>
  <si>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</si>
  <si>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</si>
  <si>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</si>
  <si>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</si>
  <si>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</si>
  <si>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</si>
  <si>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</si>
  <si>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</si>
  <si>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</si>
  <si>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</si>
  <si>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</si>
  <si>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</si>
  <si>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</si>
  <si>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</si>
  <si>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</si>
  <si>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</si>
  <si>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</si>
  <si>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</si>
  <si>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</si>
  <si>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</si>
  <si>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</si>
  <si>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</si>
  <si>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</si>
  <si>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</si>
  <si>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</si>
  <si>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</si>
  <si>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</si>
  <si>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</si>
  <si>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</si>
  <si>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</si>
  <si>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</si>
  <si>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</si>
  <si>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</si>
  <si>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</si>
  <si>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</si>
  <si>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</si>
  <si>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</si>
  <si>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</si>
  <si>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</si>
  <si>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</si>
  <si>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</si>
  <si>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</si>
  <si>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</si>
  <si>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</si>
  <si>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</si>
  <si>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</si>
  <si>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</si>
  <si>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</si>
  <si>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</si>
  <si>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</si>
  <si>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</si>
  <si>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</si>
  <si>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</si>
  <si>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</si>
  <si>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</si>
  <si>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</si>
  <si>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</si>
  <si>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</si>
  <si>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</si>
  <si>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</si>
  <si>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</si>
  <si>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</si>
  <si>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</si>
  <si>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</si>
  <si>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</si>
  <si>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</si>
  <si>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</si>
  <si>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</si>
  <si>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</si>
  <si>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</si>
  <si>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</si>
  <si>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</si>
  <si>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</si>
  <si>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</si>
  <si>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</si>
  <si>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</si>
  <si>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</si>
  <si>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</si>
  <si>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</si>
  <si>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</si>
  <si>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</si>
  <si>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</si>
  <si>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</si>
  <si>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</si>
  <si>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</si>
  <si>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</si>
  <si>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</si>
  <si>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</si>
  <si>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</si>
  <si>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</si>
  <si>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</si>
  <si>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</si>
  <si>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</si>
  <si>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</si>
  <si>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</si>
  <si>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</si>
  <si>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</si>
  <si>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</si>
  <si>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</si>
  <si>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</si>
  <si>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</si>
  <si>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</si>
  <si>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</si>
  <si>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</si>
  <si>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</si>
  <si>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</si>
  <si>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</si>
  <si>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</si>
  <si>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</si>
  <si>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</si>
  <si>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</si>
  <si>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</si>
  <si>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</si>
  <si>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</si>
  <si>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</si>
  <si>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</si>
  <si>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</si>
  <si>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</si>
  <si>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</si>
  <si>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</si>
  <si>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</si>
  <si>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</si>
  <si>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</si>
  <si>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</si>
  <si>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</si>
  <si>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</si>
  <si>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</si>
  <si>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</si>
  <si>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</si>
  <si>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</si>
  <si>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</si>
  <si>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</si>
  <si>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</si>
  <si>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</si>
  <si>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</si>
  <si>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</si>
  <si>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</si>
  <si>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</si>
  <si>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</si>
  <si>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</si>
  <si>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</si>
  <si>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</si>
  <si>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</si>
  <si>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</si>
  <si>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</si>
  <si>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</si>
  <si>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</si>
  <si>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</si>
  <si>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</si>
  <si>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</si>
  <si>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</si>
  <si>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</si>
  <si>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</si>
  <si>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</si>
  <si>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</si>
  <si>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</si>
  <si>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</si>
  <si>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</si>
  <si>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</si>
  <si>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</si>
  <si>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</si>
  <si>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</si>
  <si>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</si>
  <si>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</si>
  <si>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</si>
  <si>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</si>
  <si>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</si>
  <si>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</si>
  <si>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</si>
  <si>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</si>
  <si>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</si>
  <si>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</si>
  <si>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</si>
  <si>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</si>
  <si>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</si>
  <si>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</si>
  <si>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</si>
  <si>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</si>
  <si>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</si>
  <si>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</si>
  <si>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</si>
  <si>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</si>
  <si>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</si>
  <si>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</si>
  <si>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</si>
  <si>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</si>
  <si>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</si>
  <si>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</si>
  <si>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</si>
  <si>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</si>
  <si>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</si>
  <si>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</si>
  <si>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</si>
  <si>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</si>
  <si>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</si>
  <si>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</si>
  <si>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</si>
  <si>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</si>
  <si>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</si>
  <si>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</si>
  <si>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</si>
  <si>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</si>
  <si>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</si>
  <si>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</si>
  <si>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</si>
  <si>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</si>
  <si>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</si>
  <si>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</si>
  <si>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</si>
  <si>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</si>
  <si>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</si>
  <si>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</si>
  <si>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</si>
  <si>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</si>
  <si>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</si>
  <si>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</si>
  <si>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</si>
  <si>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</si>
  <si>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</si>
  <si>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</si>
  <si>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</si>
  <si>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</si>
  <si>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</si>
  <si>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</si>
  <si>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</si>
  <si>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</si>
  <si>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</si>
  <si>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</si>
  <si>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</si>
  <si>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</si>
  <si>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</si>
  <si>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</si>
  <si>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</si>
  <si>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</si>
  <si>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</si>
  <si>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</si>
  <si>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</si>
  <si>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</si>
  <si>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</si>
  <si>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</si>
  <si>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</si>
  <si>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</si>
  <si>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</si>
  <si>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</si>
  <si>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</si>
  <si>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</si>
  <si>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</si>
  <si>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</si>
  <si>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</si>
  <si>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</si>
  <si>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</si>
  <si>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</si>
  <si>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</si>
  <si>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</si>
  <si>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</si>
  <si>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</si>
  <si>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</si>
  <si>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</si>
  <si>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</si>
  <si>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</si>
  <si>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</si>
  <si>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</si>
  <si>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</si>
  <si>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</si>
  <si>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</si>
  <si>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</si>
  <si>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</si>
  <si>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</si>
  <si>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</si>
  <si>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</si>
  <si>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</si>
  <si>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</si>
  <si>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</si>
  <si>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</si>
  <si>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</si>
  <si>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</si>
  <si>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</si>
  <si>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</si>
  <si>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</si>
  <si>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</si>
  <si>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</si>
  <si>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</si>
  <si>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</si>
  <si>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</si>
  <si>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</si>
  <si>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</si>
  <si>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</si>
  <si>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</si>
  <si>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</si>
  <si>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</si>
  <si>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</si>
  <si>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</si>
  <si>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</si>
  <si>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</si>
  <si>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</si>
  <si>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</si>
  <si>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</si>
  <si>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</si>
  <si>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box_n_0002</t>
  </si>
  <si>
    <t>STR_BOX_N_0002</t>
  </si>
  <si>
    <t>box_n_0003</t>
  </si>
  <si>
    <t>STR_BOX_N_0003</t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</si>
  <si>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</si>
  <si>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</si>
  <si>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</si>
  <si>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</si>
  <si>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</si>
  <si>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</si>
  <si>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</si>
  <si>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</si>
  <si>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</si>
  <si>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</si>
  <si>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</si>
  <si>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</si>
  <si>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</si>
  <si>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</si>
  <si>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</si>
  <si>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</si>
  <si>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</si>
  <si>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</si>
  <si>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</si>
  <si>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</si>
  <si>
    <t>npc_n_0026</t>
  </si>
  <si>
    <t>STR_NPC_N_0026</t>
    <phoneticPr fontId="1" type="noConversion"/>
  </si>
  <si>
    <t>npc_0011</t>
    <phoneticPr fontId="1" type="noConversion"/>
  </si>
  <si>
    <t>STR_STORY_NPC_20026_01</t>
    <phoneticPr fontId="1" type="noConversion"/>
  </si>
  <si>
    <t>라미_50072</t>
  </si>
  <si>
    <t>npc_n_0027</t>
  </si>
  <si>
    <t>라미_50073</t>
  </si>
  <si>
    <t>npc_n_0028</t>
  </si>
  <si>
    <t>STR_STORY_NPC_20027_01</t>
    <phoneticPr fontId="1" type="noConversion"/>
  </si>
  <si>
    <t>STR_STORY_NPC_20028_01</t>
    <phoneticPr fontId="1" type="noConversion"/>
  </si>
  <si>
    <t>라미_50070</t>
    <phoneticPr fontId="1" type="noConversion"/>
  </si>
  <si>
    <t>STR_STORY_NPC_20026_02</t>
  </si>
  <si>
    <t>STR_STORY_NPC_20026_03</t>
  </si>
  <si>
    <t>STR_STORY_NPC_20026_04</t>
  </si>
  <si>
    <t>STR_STORY_NPC_20026_05</t>
  </si>
  <si>
    <t>STR_STORY_NPC_20027_02</t>
  </si>
  <si>
    <t>STR_STORY_NPC_20027_03</t>
  </si>
  <si>
    <t>STR_STORY_NPC_20027_04</t>
  </si>
  <si>
    <t>STR_STORY_NPC_20027_05</t>
  </si>
  <si>
    <t>STR_STORY_NPC_20027_06</t>
  </si>
  <si>
    <t>STR_STORY_NPC_20028_02</t>
  </si>
  <si>
    <t>STR_STORY_NPC_20028_03</t>
  </si>
  <si>
    <t>STR_STORY_NPC_20028_04</t>
  </si>
  <si>
    <t>STR_STORY_NPC_20028_05</t>
  </si>
  <si>
    <t>STR_STORY_NPC_20028_06</t>
  </si>
  <si>
    <t>STR_STORY_NPC_20028_07</t>
  </si>
  <si>
    <t>라미_50072_2</t>
    <phoneticPr fontId="1" type="noConversion"/>
  </si>
  <si>
    <t>npc_n_0029</t>
  </si>
  <si>
    <t>STR_STORY_NPC_20029_01</t>
    <phoneticPr fontId="1" type="noConversion"/>
  </si>
  <si>
    <t>STR_STORY_NPC_20029_02</t>
  </si>
  <si>
    <t>chest_01</t>
    <phoneticPr fontId="1" type="noConversion"/>
  </si>
  <si>
    <t>책_50079</t>
    <phoneticPr fontId="1" type="noConversion"/>
  </si>
  <si>
    <t>npc_n_0030</t>
  </si>
  <si>
    <t>STR_NPC_N_0030</t>
    <phoneticPr fontId="1" type="noConversion"/>
  </si>
  <si>
    <t>npc_0012</t>
  </si>
  <si>
    <t>STR_STORY_NPC_20030_01</t>
    <phoneticPr fontId="1" type="noConversion"/>
  </si>
  <si>
    <t>STR_STORY_NPC_20030_02</t>
  </si>
  <si>
    <t>STR_STORY_NPC_20030_03</t>
  </si>
  <si>
    <t>STR_STORY_NPC_20030_04</t>
  </si>
  <si>
    <t>C등급 보물상자 01</t>
    <phoneticPr fontId="1" type="noConversion"/>
  </si>
  <si>
    <t>B등급 보물상자 02</t>
    <phoneticPr fontId="1" type="noConversion"/>
  </si>
  <si>
    <t>drop_0039</t>
    <phoneticPr fontId="1" type="noConversion"/>
  </si>
  <si>
    <t>A등급 보물상자 03</t>
    <phoneticPr fontId="1" type="noConversion"/>
  </si>
  <si>
    <t>drop_0040</t>
    <phoneticPr fontId="1" type="noConversion"/>
  </si>
  <si>
    <t>drop_0036</t>
    <phoneticPr fontId="1" type="noConversion"/>
  </si>
  <si>
    <t>drop_0037</t>
    <phoneticPr fontId="1" type="noConversion"/>
  </si>
  <si>
    <t>drop_0038</t>
  </si>
  <si>
    <t>drop_0030</t>
    <phoneticPr fontId="1" type="noConversion"/>
  </si>
  <si>
    <t>drop_0031</t>
  </si>
  <si>
    <t>drop_0034</t>
    <phoneticPr fontId="1" type="noConversion"/>
  </si>
  <si>
    <t>drop_0035</t>
  </si>
  <si>
    <t>drop_0032</t>
    <phoneticPr fontId="1" type="noConversion"/>
  </si>
  <si>
    <t>drop_0033</t>
    <phoneticPr fontId="1" type="noConversion"/>
  </si>
  <si>
    <t>pf_fire_01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</si>
</sst>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9"/>
  <sheetViews>
    <sheetView tabSelected="1" workbookViewId="0">
      <pane ySplit="1" topLeftCell="A11" activePane="bottomLeft" state="frozen"/>
      <selection activeCell="E1" sqref="E1"/>
      <selection pane="bottomLeft" activeCell="S43" sqref="S43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33">
        <v>20025</v>
      </c>
      <c r="B27" s="34" t="s">
        <v>357</v>
      </c>
      <c r="C27" s="35" t="s">
        <v>347</v>
      </c>
      <c r="D27" s="33" t="s">
        <v>348</v>
      </c>
      <c r="E27" s="33" t="str">
        <f t="shared" ref="E27:E29" si="12">D27&amp;"_DESC"</f>
        <v>STR_NPC_N_0026_DESC</v>
      </c>
      <c r="F27" s="33" t="s">
        <v>88</v>
      </c>
      <c r="G27" s="33">
        <v>0</v>
      </c>
      <c r="H27" s="33">
        <v>0</v>
      </c>
      <c r="I27" s="33">
        <v>1</v>
      </c>
      <c r="J27" s="33">
        <v>0</v>
      </c>
      <c r="K27" s="33">
        <v>0</v>
      </c>
      <c r="L27" s="33">
        <v>0</v>
      </c>
      <c r="M27" s="33">
        <v>0</v>
      </c>
      <c r="N27" s="33"/>
      <c r="O27" s="33"/>
      <c r="P27" s="33"/>
      <c r="Q27" s="36" t="s">
        <v>349</v>
      </c>
      <c r="T27" s="33" t="s">
        <v>350</v>
      </c>
      <c r="U27" s="33" t="s">
        <v>358</v>
      </c>
      <c r="V27" s="33" t="s">
        <v>359</v>
      </c>
      <c r="W27" s="33" t="s">
        <v>360</v>
      </c>
      <c r="X27" s="33" t="s">
        <v>361</v>
      </c>
      <c r="Y27" s="33"/>
      <c r="Z27" s="33"/>
      <c r="AA27" s="33"/>
      <c r="AB27" s="33"/>
      <c r="AC27" s="33"/>
    </row>
    <row r="28" spans="1:29" x14ac:dyDescent="0.3">
      <c r="A28" s="33">
        <v>20026</v>
      </c>
      <c r="B28" s="34" t="s">
        <v>351</v>
      </c>
      <c r="C28" s="35" t="s">
        <v>352</v>
      </c>
      <c r="D28" s="33" t="s">
        <v>348</v>
      </c>
      <c r="E28" s="33" t="str">
        <f>D28&amp;"_DESC"</f>
        <v>STR_NPC_N_0026_DESC</v>
      </c>
      <c r="F28" s="33" t="s">
        <v>88</v>
      </c>
      <c r="G28" s="33">
        <v>0</v>
      </c>
      <c r="H28" s="33">
        <v>0</v>
      </c>
      <c r="I28" s="33">
        <v>1</v>
      </c>
      <c r="J28" s="33">
        <v>0</v>
      </c>
      <c r="K28" s="33">
        <v>0</v>
      </c>
      <c r="L28" s="33">
        <v>0</v>
      </c>
      <c r="M28" s="33">
        <v>0</v>
      </c>
      <c r="N28" s="33"/>
      <c r="O28" s="33"/>
      <c r="P28" s="33"/>
      <c r="Q28" s="36" t="s">
        <v>349</v>
      </c>
      <c r="T28" s="33" t="s">
        <v>355</v>
      </c>
      <c r="U28" s="33" t="s">
        <v>362</v>
      </c>
      <c r="V28" s="33" t="s">
        <v>363</v>
      </c>
      <c r="W28" s="33" t="s">
        <v>364</v>
      </c>
      <c r="X28" s="33" t="s">
        <v>365</v>
      </c>
      <c r="Y28" s="33" t="s">
        <v>366</v>
      </c>
      <c r="Z28" s="33"/>
      <c r="AA28" s="33"/>
      <c r="AB28" s="33"/>
      <c r="AC28" s="33"/>
    </row>
    <row r="29" spans="1:29" x14ac:dyDescent="0.3">
      <c r="A29" s="33">
        <v>20027</v>
      </c>
      <c r="B29" s="34" t="s">
        <v>353</v>
      </c>
      <c r="C29" s="35" t="s">
        <v>354</v>
      </c>
      <c r="D29" s="33" t="s">
        <v>348</v>
      </c>
      <c r="E29" s="33" t="str">
        <f t="shared" si="12"/>
        <v>STR_NPC_N_0026_DESC</v>
      </c>
      <c r="F29" s="33" t="s">
        <v>88</v>
      </c>
      <c r="G29" s="33">
        <v>0</v>
      </c>
      <c r="H29" s="33">
        <v>0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33"/>
      <c r="O29" s="33"/>
      <c r="P29" s="33"/>
      <c r="Q29" s="36" t="s">
        <v>349</v>
      </c>
      <c r="T29" s="33" t="s">
        <v>356</v>
      </c>
      <c r="U29" s="33" t="s">
        <v>367</v>
      </c>
      <c r="V29" s="33" t="s">
        <v>368</v>
      </c>
      <c r="W29" s="33" t="s">
        <v>369</v>
      </c>
      <c r="X29" s="33" t="s">
        <v>370</v>
      </c>
      <c r="Y29" s="33" t="s">
        <v>371</v>
      </c>
      <c r="Z29" s="33" t="s">
        <v>372</v>
      </c>
      <c r="AA29" s="33"/>
      <c r="AB29" s="33"/>
      <c r="AC29" s="33"/>
    </row>
    <row r="30" spans="1:29" x14ac:dyDescent="0.3">
      <c r="A30" s="33">
        <v>20028</v>
      </c>
      <c r="B30" s="34" t="s">
        <v>373</v>
      </c>
      <c r="C30" s="35" t="s">
        <v>374</v>
      </c>
      <c r="D30" s="33" t="s">
        <v>348</v>
      </c>
      <c r="E30" s="33" t="str">
        <f>D30&amp;"_DESC"</f>
        <v>STR_NPC_N_0026_DESC</v>
      </c>
      <c r="F30" s="33" t="s">
        <v>88</v>
      </c>
      <c r="G30" s="33">
        <v>0</v>
      </c>
      <c r="H30" s="33">
        <v>0</v>
      </c>
      <c r="I30" s="33">
        <v>1</v>
      </c>
      <c r="J30" s="33">
        <v>0</v>
      </c>
      <c r="K30" s="33">
        <v>0</v>
      </c>
      <c r="L30" s="33">
        <v>0</v>
      </c>
      <c r="M30" s="33">
        <v>0</v>
      </c>
      <c r="N30" s="33"/>
      <c r="O30" s="33"/>
      <c r="P30" s="33"/>
      <c r="Q30" s="36" t="s">
        <v>349</v>
      </c>
      <c r="T30" s="33" t="s">
        <v>375</v>
      </c>
      <c r="U30" s="33" t="s">
        <v>376</v>
      </c>
      <c r="V30" s="33"/>
      <c r="W30" s="33"/>
      <c r="X30" s="33"/>
      <c r="Y30" s="33"/>
      <c r="Z30" s="33"/>
      <c r="AA30" s="33"/>
      <c r="AB30" s="33"/>
      <c r="AC30" s="33"/>
    </row>
    <row r="31" spans="1:29" x14ac:dyDescent="0.3">
      <c r="A31" s="33">
        <v>20029</v>
      </c>
      <c r="B31" s="34" t="s">
        <v>378</v>
      </c>
      <c r="C31" s="35" t="s">
        <v>379</v>
      </c>
      <c r="D31" s="33" t="s">
        <v>380</v>
      </c>
      <c r="E31" s="33" t="str">
        <f>D31&amp;"_DESC"</f>
        <v>STR_NPC_N_0030_DESC</v>
      </c>
      <c r="F31" s="33" t="s">
        <v>88</v>
      </c>
      <c r="G31" s="33">
        <v>0</v>
      </c>
      <c r="H31" s="33">
        <v>0</v>
      </c>
      <c r="I31" s="33">
        <v>1</v>
      </c>
      <c r="J31" s="33">
        <v>0</v>
      </c>
      <c r="K31" s="33">
        <v>0</v>
      </c>
      <c r="L31" s="33">
        <v>0</v>
      </c>
      <c r="M31" s="33">
        <v>0</v>
      </c>
      <c r="N31" s="33"/>
      <c r="O31" s="33"/>
      <c r="P31" s="33"/>
      <c r="Q31" s="36" t="s">
        <v>381</v>
      </c>
      <c r="T31" s="33" t="s">
        <v>382</v>
      </c>
      <c r="U31" s="33" t="s">
        <v>383</v>
      </c>
      <c r="V31" s="33" t="s">
        <v>384</v>
      </c>
      <c r="W31" s="33" t="s">
        <v>385</v>
      </c>
      <c r="X31" s="33"/>
      <c r="Y31" s="33"/>
      <c r="Z31" s="33"/>
      <c r="AA31" s="33"/>
      <c r="AB31" s="33"/>
      <c r="AC31" s="33"/>
    </row>
    <row r="32" spans="1:29" x14ac:dyDescent="0.3">
      <c r="A32" s="40">
        <v>22000</v>
      </c>
      <c r="B32" s="41" t="s">
        <v>247</v>
      </c>
      <c r="C32" s="42" t="s">
        <v>100</v>
      </c>
      <c r="D32" s="40" t="str">
        <f t="shared" ref="D32:D33" si="13">"STR_"&amp;UPPER(C32)</f>
        <v>STR_MOB_N_0001</v>
      </c>
      <c r="E32" s="40" t="str">
        <f t="shared" ref="E32:E46" si="14">D32&amp;"_DESC"</f>
        <v>STR_MOB_N_0001_DESC</v>
      </c>
      <c r="F32" s="40" t="s">
        <v>101</v>
      </c>
      <c r="G32" s="40">
        <v>10</v>
      </c>
      <c r="H32" s="40">
        <v>1</v>
      </c>
      <c r="I32" s="40">
        <v>1</v>
      </c>
      <c r="J32" s="40">
        <v>0</v>
      </c>
      <c r="K32" s="40">
        <v>1200</v>
      </c>
      <c r="L32" s="40">
        <v>30</v>
      </c>
      <c r="M32" s="40">
        <v>20</v>
      </c>
      <c r="N32" s="40" t="s">
        <v>225</v>
      </c>
      <c r="O32" s="40"/>
      <c r="P32" s="40"/>
      <c r="Q32" s="40" t="s">
        <v>226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22001</v>
      </c>
      <c r="B33" s="40" t="s">
        <v>137</v>
      </c>
      <c r="C33" s="41" t="s">
        <v>138</v>
      </c>
      <c r="D33" s="40" t="str">
        <f t="shared" si="13"/>
        <v>STR_MOB_N_0002</v>
      </c>
      <c r="E33" s="40" t="str">
        <f t="shared" si="14"/>
        <v>STR_MOB_N_0002_DESC</v>
      </c>
      <c r="F33" s="40" t="s">
        <v>101</v>
      </c>
      <c r="G33" s="40">
        <v>1</v>
      </c>
      <c r="H33" s="40">
        <v>1</v>
      </c>
      <c r="I33" s="40">
        <v>1</v>
      </c>
      <c r="J33" s="40">
        <v>0</v>
      </c>
      <c r="K33" s="40">
        <v>2400</v>
      </c>
      <c r="L33" s="40">
        <v>0</v>
      </c>
      <c r="M33" s="40">
        <v>10</v>
      </c>
      <c r="N33" s="40"/>
      <c r="O33" s="40"/>
      <c r="P33" s="40"/>
      <c r="Q33" s="40" t="s">
        <v>139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22002</v>
      </c>
      <c r="B34" s="41" t="s">
        <v>249</v>
      </c>
      <c r="C34" s="42" t="s">
        <v>286</v>
      </c>
      <c r="D34" s="40" t="str">
        <f t="shared" ref="D34" si="15">"STR_"&amp;UPPER(C34)</f>
        <v>STR_MOB_N_0003</v>
      </c>
      <c r="E34" s="40" t="str">
        <f t="shared" ref="E34" si="16">D34&amp;"_DESC"</f>
        <v>STR_MOB_N_0003_DESC</v>
      </c>
      <c r="F34" s="40" t="s">
        <v>101</v>
      </c>
      <c r="G34" s="40">
        <v>60</v>
      </c>
      <c r="H34" s="40">
        <v>1</v>
      </c>
      <c r="I34" s="40">
        <v>1</v>
      </c>
      <c r="J34" s="40">
        <v>0</v>
      </c>
      <c r="K34" s="40">
        <v>1500</v>
      </c>
      <c r="L34" s="40">
        <v>15</v>
      </c>
      <c r="M34" s="40">
        <v>30</v>
      </c>
      <c r="N34" s="40" t="s">
        <v>224</v>
      </c>
      <c r="O34" s="40"/>
      <c r="P34" s="40"/>
      <c r="Q34" s="40" t="s">
        <v>102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22003</v>
      </c>
      <c r="B35" s="41" t="s">
        <v>243</v>
      </c>
      <c r="C35" s="42" t="s">
        <v>234</v>
      </c>
      <c r="D35" s="40" t="str">
        <f t="shared" ref="D35" si="17">"STR_"&amp;UPPER(C35)</f>
        <v>STR_MOB_N_0004</v>
      </c>
      <c r="E35" s="40" t="str">
        <f t="shared" ref="E35" si="18">D35&amp;"_DESC"</f>
        <v>STR_MOB_N_0004_DESC</v>
      </c>
      <c r="F35" s="40" t="s">
        <v>101</v>
      </c>
      <c r="G35" s="40">
        <v>25</v>
      </c>
      <c r="H35" s="40">
        <v>1</v>
      </c>
      <c r="I35" s="40">
        <v>1</v>
      </c>
      <c r="J35" s="40">
        <v>0</v>
      </c>
      <c r="K35" s="40">
        <v>1500</v>
      </c>
      <c r="L35" s="40">
        <v>20</v>
      </c>
      <c r="M35" s="40">
        <v>50</v>
      </c>
      <c r="N35" s="40" t="s">
        <v>394</v>
      </c>
      <c r="O35" s="40" t="s">
        <v>395</v>
      </c>
      <c r="P35" s="40"/>
      <c r="Q35" s="40" t="s">
        <v>244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22004</v>
      </c>
      <c r="B36" s="41" t="s">
        <v>245</v>
      </c>
      <c r="C36" s="42" t="s">
        <v>235</v>
      </c>
      <c r="D36" s="40" t="str">
        <f t="shared" ref="D36:D44" si="19">"STR_"&amp;UPPER(C36)</f>
        <v>STR_MOB_N_0005</v>
      </c>
      <c r="E36" s="40" t="str">
        <f t="shared" ref="E36:E44" si="20">D36&amp;"_DESC"</f>
        <v>STR_MOB_N_0005_DESC</v>
      </c>
      <c r="F36" s="40" t="s">
        <v>101</v>
      </c>
      <c r="G36" s="40">
        <v>1</v>
      </c>
      <c r="H36" s="40">
        <v>1</v>
      </c>
      <c r="I36" s="40">
        <v>1</v>
      </c>
      <c r="J36" s="40">
        <v>0</v>
      </c>
      <c r="K36" s="40">
        <v>1200</v>
      </c>
      <c r="L36" s="40">
        <v>70</v>
      </c>
      <c r="M36" s="40">
        <v>10</v>
      </c>
      <c r="N36" s="40" t="s">
        <v>224</v>
      </c>
      <c r="O36" s="40"/>
      <c r="P36" s="40"/>
      <c r="Q36" s="40" t="s">
        <v>246</v>
      </c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22005</v>
      </c>
      <c r="B37" s="41" t="s">
        <v>248</v>
      </c>
      <c r="C37" s="42" t="s">
        <v>236</v>
      </c>
      <c r="D37" s="40" t="str">
        <f t="shared" si="19"/>
        <v>STR_MOB_N_0006</v>
      </c>
      <c r="E37" s="40" t="str">
        <f t="shared" si="20"/>
        <v>STR_MOB_N_0006_DESC</v>
      </c>
      <c r="F37" s="40" t="s">
        <v>101</v>
      </c>
      <c r="G37" s="40">
        <v>40</v>
      </c>
      <c r="H37" s="40">
        <v>1</v>
      </c>
      <c r="I37" s="40">
        <v>1</v>
      </c>
      <c r="J37" s="40">
        <v>0</v>
      </c>
      <c r="K37" s="40">
        <v>1000</v>
      </c>
      <c r="L37" s="40">
        <v>60</v>
      </c>
      <c r="M37" s="40">
        <v>25</v>
      </c>
      <c r="N37" s="40" t="s">
        <v>391</v>
      </c>
      <c r="O37" s="40"/>
      <c r="P37" s="40"/>
      <c r="Q37" s="40" t="s">
        <v>251</v>
      </c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22006</v>
      </c>
      <c r="B38" s="41" t="s">
        <v>250</v>
      </c>
      <c r="C38" s="42" t="s">
        <v>237</v>
      </c>
      <c r="D38" s="40" t="str">
        <f t="shared" si="19"/>
        <v>STR_MOB_N_0007</v>
      </c>
      <c r="E38" s="40" t="str">
        <f t="shared" si="20"/>
        <v>STR_MOB_N_0007_DESC</v>
      </c>
      <c r="F38" s="40" t="s">
        <v>101</v>
      </c>
      <c r="G38" s="40">
        <v>60</v>
      </c>
      <c r="H38" s="40">
        <v>1</v>
      </c>
      <c r="I38" s="40">
        <v>1</v>
      </c>
      <c r="J38" s="40">
        <v>0</v>
      </c>
      <c r="K38" s="40">
        <v>900</v>
      </c>
      <c r="L38" s="40">
        <v>70</v>
      </c>
      <c r="M38" s="40">
        <v>35</v>
      </c>
      <c r="N38" s="40" t="s">
        <v>392</v>
      </c>
      <c r="O38" s="40" t="s">
        <v>393</v>
      </c>
      <c r="P38" s="40"/>
      <c r="Q38" s="40" t="s">
        <v>252</v>
      </c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40">
        <v>22007</v>
      </c>
      <c r="B39" s="41" t="s">
        <v>258</v>
      </c>
      <c r="C39" s="42" t="s">
        <v>238</v>
      </c>
      <c r="D39" s="40" t="str">
        <f t="shared" si="19"/>
        <v>STR_MOB_N_0008</v>
      </c>
      <c r="E39" s="40" t="str">
        <f t="shared" si="20"/>
        <v>STR_MOB_N_0008_DESC</v>
      </c>
      <c r="F39" s="40" t="s">
        <v>101</v>
      </c>
      <c r="G39" s="40">
        <v>80</v>
      </c>
      <c r="H39" s="40">
        <v>1</v>
      </c>
      <c r="I39" s="40">
        <v>1</v>
      </c>
      <c r="J39" s="40">
        <v>0</v>
      </c>
      <c r="K39" s="40">
        <v>800</v>
      </c>
      <c r="L39" s="40">
        <v>80</v>
      </c>
      <c r="M39" s="40">
        <v>45</v>
      </c>
      <c r="N39" s="40" t="s">
        <v>224</v>
      </c>
      <c r="O39" s="40"/>
      <c r="P39" s="40"/>
      <c r="Q39" s="40" t="s">
        <v>253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 spans="1:29" x14ac:dyDescent="0.3">
      <c r="A40" s="40">
        <v>22008</v>
      </c>
      <c r="B40" s="41" t="s">
        <v>259</v>
      </c>
      <c r="C40" s="42" t="s">
        <v>239</v>
      </c>
      <c r="D40" s="40" t="str">
        <f t="shared" si="19"/>
        <v>STR_MOB_N_0009</v>
      </c>
      <c r="E40" s="40" t="str">
        <f t="shared" si="20"/>
        <v>STR_MOB_N_0009_DESC</v>
      </c>
      <c r="F40" s="40" t="s">
        <v>101</v>
      </c>
      <c r="G40" s="40">
        <v>1</v>
      </c>
      <c r="H40" s="40">
        <v>1</v>
      </c>
      <c r="I40" s="40">
        <v>1</v>
      </c>
      <c r="J40" s="40">
        <v>0</v>
      </c>
      <c r="K40" s="40">
        <v>1800</v>
      </c>
      <c r="L40" s="40">
        <v>20</v>
      </c>
      <c r="M40" s="40">
        <v>5</v>
      </c>
      <c r="N40" s="40" t="s">
        <v>224</v>
      </c>
      <c r="O40" s="40"/>
      <c r="P40" s="40"/>
      <c r="Q40" s="40" t="s">
        <v>254</v>
      </c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 spans="1:29" x14ac:dyDescent="0.3">
      <c r="A41" s="40">
        <v>22009</v>
      </c>
      <c r="B41" s="41" t="s">
        <v>262</v>
      </c>
      <c r="C41" s="42" t="s">
        <v>240</v>
      </c>
      <c r="D41" s="40" t="str">
        <f t="shared" si="19"/>
        <v>STR_MOB_N_0010</v>
      </c>
      <c r="E41" s="40" t="str">
        <f t="shared" si="20"/>
        <v>STR_MOB_N_0010_DESC</v>
      </c>
      <c r="F41" s="40" t="s">
        <v>101</v>
      </c>
      <c r="G41" s="40">
        <v>50</v>
      </c>
      <c r="H41" s="40">
        <v>50</v>
      </c>
      <c r="I41" s="40">
        <v>3</v>
      </c>
      <c r="J41" s="40">
        <v>0</v>
      </c>
      <c r="K41" s="40">
        <v>1500</v>
      </c>
      <c r="L41" s="40">
        <v>0</v>
      </c>
      <c r="M41" s="40">
        <v>70</v>
      </c>
      <c r="N41" s="40" t="s">
        <v>224</v>
      </c>
      <c r="O41" s="40"/>
      <c r="P41" s="40"/>
      <c r="Q41" s="40" t="s">
        <v>255</v>
      </c>
      <c r="R41" s="40"/>
      <c r="S41" s="40" t="s">
        <v>285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 spans="1:29" x14ac:dyDescent="0.3">
      <c r="A42" s="40">
        <v>22010</v>
      </c>
      <c r="B42" s="41" t="s">
        <v>260</v>
      </c>
      <c r="C42" s="42" t="s">
        <v>241</v>
      </c>
      <c r="D42" s="40" t="str">
        <f t="shared" si="19"/>
        <v>STR_MOB_N_0011</v>
      </c>
      <c r="E42" s="40" t="str">
        <f t="shared" si="20"/>
        <v>STR_MOB_N_0011_DESC</v>
      </c>
      <c r="F42" s="40" t="s">
        <v>101</v>
      </c>
      <c r="G42" s="40">
        <v>90</v>
      </c>
      <c r="H42" s="40">
        <v>150</v>
      </c>
      <c r="I42" s="40">
        <v>5</v>
      </c>
      <c r="J42" s="40">
        <v>0</v>
      </c>
      <c r="K42" s="40">
        <v>1200</v>
      </c>
      <c r="L42" s="40">
        <v>45</v>
      </c>
      <c r="M42" s="40">
        <v>250</v>
      </c>
      <c r="N42" s="40" t="s">
        <v>224</v>
      </c>
      <c r="O42" s="40"/>
      <c r="P42" s="40"/>
      <c r="Q42" s="40" t="s">
        <v>256</v>
      </c>
      <c r="R42" s="40"/>
      <c r="S42" s="40" t="s">
        <v>400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 spans="1:29" x14ac:dyDescent="0.3">
      <c r="A43" s="40">
        <v>22011</v>
      </c>
      <c r="B43" s="41" t="s">
        <v>261</v>
      </c>
      <c r="C43" s="42" t="s">
        <v>242</v>
      </c>
      <c r="D43" s="40" t="str">
        <f t="shared" si="19"/>
        <v>STR_MOB_N_0012</v>
      </c>
      <c r="E43" s="40" t="str">
        <f t="shared" si="20"/>
        <v>STR_MOB_N_0012_DESC</v>
      </c>
      <c r="F43" s="40" t="s">
        <v>101</v>
      </c>
      <c r="G43" s="40">
        <v>120</v>
      </c>
      <c r="H43" s="40">
        <v>80</v>
      </c>
      <c r="I43" s="40">
        <v>1</v>
      </c>
      <c r="J43" s="40">
        <v>0</v>
      </c>
      <c r="K43" s="40">
        <v>1000</v>
      </c>
      <c r="L43" s="40">
        <v>53</v>
      </c>
      <c r="M43" s="40">
        <v>200</v>
      </c>
      <c r="N43" s="40" t="s">
        <v>396</v>
      </c>
      <c r="O43" s="40" t="s">
        <v>397</v>
      </c>
      <c r="P43" s="40"/>
      <c r="Q43" s="40" t="s">
        <v>257</v>
      </c>
      <c r="R43" s="40"/>
      <c r="S43" s="40" t="s">
        <v>285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 spans="1:29" x14ac:dyDescent="0.3">
      <c r="A44" s="40">
        <v>22012</v>
      </c>
      <c r="B44" s="41" t="s">
        <v>317</v>
      </c>
      <c r="C44" s="42" t="s">
        <v>318</v>
      </c>
      <c r="D44" s="40" t="str">
        <f t="shared" si="19"/>
        <v>STR_MOB_N_0013</v>
      </c>
      <c r="E44" s="40" t="str">
        <f t="shared" si="20"/>
        <v>STR_MOB_N_0013_DESC</v>
      </c>
      <c r="F44" s="40" t="s">
        <v>101</v>
      </c>
      <c r="G44" s="40">
        <v>25</v>
      </c>
      <c r="H44" s="40">
        <v>1</v>
      </c>
      <c r="I44" s="40">
        <v>1</v>
      </c>
      <c r="J44" s="40">
        <v>0</v>
      </c>
      <c r="K44" s="40">
        <v>1500</v>
      </c>
      <c r="L44" s="40">
        <v>20</v>
      </c>
      <c r="M44" s="40">
        <v>1</v>
      </c>
      <c r="N44" s="40" t="s">
        <v>398</v>
      </c>
      <c r="O44" s="40"/>
      <c r="P44" s="40"/>
      <c r="Q44" s="40" t="s">
        <v>319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 spans="1:29" x14ac:dyDescent="0.3">
      <c r="A45" s="40">
        <v>22013</v>
      </c>
      <c r="B45" s="41" t="s">
        <v>320</v>
      </c>
      <c r="C45" s="42" t="s">
        <v>321</v>
      </c>
      <c r="D45" s="40" t="str">
        <f t="shared" ref="D45" si="21">"STR_"&amp;UPPER(C45)</f>
        <v>STR_MOB_N_0014</v>
      </c>
      <c r="E45" s="40" t="str">
        <f t="shared" ref="E45" si="22">D45&amp;"_DESC"</f>
        <v>STR_MOB_N_0014_DESC</v>
      </c>
      <c r="F45" s="40" t="s">
        <v>101</v>
      </c>
      <c r="G45" s="40">
        <v>20</v>
      </c>
      <c r="H45" s="40">
        <v>60</v>
      </c>
      <c r="I45" s="40">
        <v>3</v>
      </c>
      <c r="J45" s="40">
        <v>0</v>
      </c>
      <c r="K45" s="40">
        <v>1500</v>
      </c>
      <c r="L45" s="40">
        <v>15</v>
      </c>
      <c r="M45" s="40">
        <v>70</v>
      </c>
      <c r="N45" s="40" t="s">
        <v>399</v>
      </c>
      <c r="O45" s="40"/>
      <c r="P45" s="40"/>
      <c r="Q45" s="40" t="s">
        <v>322</v>
      </c>
      <c r="R45" s="40"/>
      <c r="S45" s="40" t="s">
        <v>285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 spans="1:29" x14ac:dyDescent="0.3">
      <c r="A46" s="33">
        <v>25000</v>
      </c>
      <c r="B46" s="34" t="s">
        <v>386</v>
      </c>
      <c r="C46" s="35" t="s">
        <v>204</v>
      </c>
      <c r="D46" s="33" t="s">
        <v>223</v>
      </c>
      <c r="E46" s="33" t="str">
        <f t="shared" si="14"/>
        <v>STR_BOX_N_0001_DESC</v>
      </c>
      <c r="F46" s="33" t="s">
        <v>88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 t="s">
        <v>205</v>
      </c>
      <c r="O46" s="33"/>
      <c r="P46" s="33"/>
      <c r="Q46" s="36" t="s">
        <v>327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>
        <v>25001</v>
      </c>
      <c r="B47" s="34" t="s">
        <v>387</v>
      </c>
      <c r="C47" s="35" t="s">
        <v>323</v>
      </c>
      <c r="D47" s="33" t="s">
        <v>324</v>
      </c>
      <c r="E47" s="33" t="str">
        <f t="shared" ref="E47:E49" si="23">D47&amp;"_DESC"</f>
        <v>STR_BOX_N_0002_DESC</v>
      </c>
      <c r="F47" s="33" t="s">
        <v>88</v>
      </c>
      <c r="G47" s="33">
        <v>0</v>
      </c>
      <c r="H47" s="33">
        <v>0</v>
      </c>
      <c r="I47" s="33">
        <v>1</v>
      </c>
      <c r="J47" s="33">
        <v>0</v>
      </c>
      <c r="K47" s="33">
        <v>0</v>
      </c>
      <c r="L47" s="33">
        <v>0</v>
      </c>
      <c r="M47" s="33">
        <v>0</v>
      </c>
      <c r="N47" s="33" t="s">
        <v>388</v>
      </c>
      <c r="O47" s="33"/>
      <c r="P47" s="33"/>
      <c r="Q47" s="36" t="s">
        <v>327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>
        <v>25002</v>
      </c>
      <c r="B48" s="34" t="s">
        <v>389</v>
      </c>
      <c r="C48" s="35" t="s">
        <v>325</v>
      </c>
      <c r="D48" s="33" t="s">
        <v>326</v>
      </c>
      <c r="E48" s="33" t="str">
        <f t="shared" si="23"/>
        <v>STR_BOX_N_0003_DESC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 t="s">
        <v>390</v>
      </c>
      <c r="O48" s="33"/>
      <c r="P48" s="33"/>
      <c r="Q48" s="36" t="s">
        <v>327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40">
        <v>26000</v>
      </c>
      <c r="B49" s="41" t="s">
        <v>328</v>
      </c>
      <c r="C49" s="42" t="s">
        <v>329</v>
      </c>
      <c r="D49" s="40" t="s">
        <v>223</v>
      </c>
      <c r="E49" s="40" t="str">
        <f t="shared" si="23"/>
        <v>STR_BOX_N_0001_DESC</v>
      </c>
      <c r="F49" s="40" t="s">
        <v>330</v>
      </c>
      <c r="G49" s="40">
        <v>300</v>
      </c>
      <c r="H49" s="40">
        <v>0</v>
      </c>
      <c r="I49" s="40">
        <v>1</v>
      </c>
      <c r="J49" s="40">
        <v>0</v>
      </c>
      <c r="K49" s="40">
        <v>0</v>
      </c>
      <c r="L49" s="40">
        <v>0</v>
      </c>
      <c r="M49" s="40">
        <v>0</v>
      </c>
      <c r="N49" s="40"/>
      <c r="O49" s="40"/>
      <c r="P49" s="40"/>
      <c r="Q49" s="40" t="s">
        <v>377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 spans="1:29" x14ac:dyDescent="0.3">
      <c r="A50" s="40">
        <v>26001</v>
      </c>
      <c r="B50" s="41" t="s">
        <v>331</v>
      </c>
      <c r="C50" s="42" t="s">
        <v>332</v>
      </c>
      <c r="D50" s="40" t="s">
        <v>333</v>
      </c>
      <c r="E50" s="40" t="str">
        <f t="shared" ref="E50:E53" si="24">D50&amp;"_DESC"</f>
        <v>STR_TRAP_N_0001_DESC</v>
      </c>
      <c r="F50" s="40" t="s">
        <v>330</v>
      </c>
      <c r="G50" s="40">
        <v>300</v>
      </c>
      <c r="H50" s="40">
        <v>0</v>
      </c>
      <c r="I50" s="40">
        <v>1</v>
      </c>
      <c r="J50" s="40">
        <v>0</v>
      </c>
      <c r="K50" s="40">
        <v>2000</v>
      </c>
      <c r="L50" s="40">
        <v>0</v>
      </c>
      <c r="M50" s="40">
        <v>0</v>
      </c>
      <c r="N50" s="40"/>
      <c r="O50" s="40"/>
      <c r="P50" s="40"/>
      <c r="Q50" s="40" t="s">
        <v>337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 spans="1:29" x14ac:dyDescent="0.3">
      <c r="A51" s="40">
        <v>26002</v>
      </c>
      <c r="B51" s="41" t="s">
        <v>334</v>
      </c>
      <c r="C51" s="42" t="s">
        <v>335</v>
      </c>
      <c r="D51" s="40" t="s">
        <v>336</v>
      </c>
      <c r="E51" s="40" t="str">
        <f t="shared" si="24"/>
        <v>STR_TRAP_N_0002_DESC</v>
      </c>
      <c r="F51" s="40" t="s">
        <v>330</v>
      </c>
      <c r="G51" s="40">
        <v>0</v>
      </c>
      <c r="H51" s="40">
        <v>0</v>
      </c>
      <c r="I51" s="40">
        <v>1</v>
      </c>
      <c r="J51" s="40">
        <v>0</v>
      </c>
      <c r="K51" s="40">
        <v>0</v>
      </c>
      <c r="L51" s="40">
        <v>0</v>
      </c>
      <c r="M51" s="40">
        <v>0</v>
      </c>
      <c r="N51" s="40"/>
      <c r="O51" s="40"/>
      <c r="P51" s="40"/>
      <c r="Q51" s="40" t="s">
        <v>338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 spans="1:29" x14ac:dyDescent="0.3">
      <c r="A52" s="40">
        <v>26003</v>
      </c>
      <c r="B52" s="41" t="s">
        <v>345</v>
      </c>
      <c r="C52" s="42" t="s">
        <v>343</v>
      </c>
      <c r="D52" s="40" t="s">
        <v>344</v>
      </c>
      <c r="E52" s="40" t="str">
        <f t="shared" ref="E52" si="25">D52&amp;"_DESC"</f>
        <v>STR_TRAP_N_0003_DESC</v>
      </c>
      <c r="F52" s="40" t="s">
        <v>330</v>
      </c>
      <c r="G52" s="40">
        <v>0</v>
      </c>
      <c r="H52" s="40">
        <v>0</v>
      </c>
      <c r="I52" s="40">
        <v>1</v>
      </c>
      <c r="J52" s="40">
        <v>0</v>
      </c>
      <c r="K52" s="40">
        <v>0</v>
      </c>
      <c r="L52" s="40">
        <v>0</v>
      </c>
      <c r="M52" s="40">
        <v>0</v>
      </c>
      <c r="N52" s="40"/>
      <c r="O52" s="40"/>
      <c r="P52" s="40"/>
      <c r="Q52" s="40" t="s">
        <v>346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 spans="1:29" x14ac:dyDescent="0.3">
      <c r="A53" s="33">
        <v>27000</v>
      </c>
      <c r="B53" s="34" t="s">
        <v>339</v>
      </c>
      <c r="C53" s="35" t="s">
        <v>340</v>
      </c>
      <c r="D53" s="33" t="s">
        <v>341</v>
      </c>
      <c r="E53" s="33" t="str">
        <f t="shared" si="24"/>
        <v>STR_DOOR_N_0001_DESC</v>
      </c>
      <c r="F53" s="33" t="s">
        <v>88</v>
      </c>
      <c r="G53" s="33">
        <v>0</v>
      </c>
      <c r="H53" s="33">
        <v>0</v>
      </c>
      <c r="I53" s="33">
        <v>1</v>
      </c>
      <c r="J53" s="33">
        <v>0</v>
      </c>
      <c r="K53" s="33">
        <v>0</v>
      </c>
      <c r="L53" s="33">
        <v>0</v>
      </c>
      <c r="M53" s="33">
        <v>0</v>
      </c>
      <c r="N53" s="33"/>
      <c r="O53" s="33"/>
      <c r="P53" s="33"/>
      <c r="Q53" s="36" t="s">
        <v>342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x14ac:dyDescent="0.3">
      <c r="A54" s="33"/>
      <c r="D54" s="33"/>
      <c r="E54" s="33"/>
      <c r="M54" s="33"/>
      <c r="N54" s="33"/>
      <c r="O54" s="33"/>
      <c r="P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x14ac:dyDescent="0.3">
      <c r="A55" s="33"/>
      <c r="B55" s="34"/>
      <c r="D55" s="33"/>
      <c r="E55" s="33"/>
      <c r="M55" s="33"/>
      <c r="N55" s="33"/>
      <c r="O55" s="33"/>
      <c r="P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x14ac:dyDescent="0.3">
      <c r="A56" s="33"/>
      <c r="D56" s="33"/>
      <c r="E56" s="33"/>
      <c r="M56" s="33"/>
      <c r="N56" s="33"/>
      <c r="O56" s="33"/>
      <c r="P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x14ac:dyDescent="0.3">
      <c r="A57" s="33"/>
      <c r="D57" s="33"/>
      <c r="E57" s="33"/>
      <c r="M57" s="33"/>
      <c r="N57" s="33"/>
      <c r="O57" s="33"/>
      <c r="P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x14ac:dyDescent="0.3">
      <c r="A58" s="33"/>
      <c r="D58" s="33"/>
      <c r="E58" s="33"/>
      <c r="M58" s="33"/>
      <c r="N58" s="33"/>
      <c r="O58" s="33"/>
      <c r="P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x14ac:dyDescent="0.3">
      <c r="A59" s="33"/>
      <c r="D59" s="33"/>
      <c r="E59" s="33"/>
      <c r="M59" s="33"/>
      <c r="N59" s="33"/>
      <c r="O59" s="33"/>
      <c r="P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2016-11-25T15:05:09Z</dcterms:modified>
</cp:coreProperties>
</file>