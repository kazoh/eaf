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19215" windowHeight="1207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47" i="8" l="1"/>
  <c r="E48" i="8"/>
  <c r="E45" i="8" l="1"/>
  <c r="E46" i="8"/>
  <c r="E44" i="8"/>
  <c r="E42" i="8"/>
  <c r="E43" i="8"/>
  <c r="D40" i="8"/>
  <c r="E40" i="8" s="1"/>
  <c r="D39" i="8"/>
  <c r="E39" i="8" s="1"/>
  <c r="E25" i="8" l="1"/>
  <c r="E26" i="8" l="1"/>
  <c r="E24" i="8"/>
  <c r="E23" i="8"/>
  <c r="E21" i="8" l="1"/>
  <c r="E22" i="8"/>
  <c r="D31" i="8" l="1"/>
  <c r="E31" i="8" s="1"/>
  <c r="D32" i="8"/>
  <c r="E32" i="8" s="1"/>
  <c r="D33" i="8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0" i="8"/>
  <c r="E30" i="8" s="1"/>
  <c r="E20" i="8" l="1"/>
  <c r="D29" i="8" l="1"/>
  <c r="E29" i="8" s="1"/>
  <c r="E19" i="8" l="1"/>
  <c r="E18" i="8" l="1"/>
  <c r="E41" i="8" l="1"/>
  <c r="E16" i="8" l="1"/>
  <c r="E17" i="8"/>
  <c r="E14" i="8"/>
  <c r="E15" i="8"/>
  <c r="E10" i="8"/>
  <c r="E11" i="8"/>
  <c r="E12" i="8"/>
  <c r="E13" i="8"/>
  <c r="D28" i="8" l="1"/>
  <c r="E28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27" i="8" l="1"/>
  <c r="E27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<sst xmlns="http://schemas.openxmlformats.org/spreadsheetml/2006/main" count="487" uniqueCount="352">
  <si>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</si>
  <si>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</si>
  <si>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</si>
  <si>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</si>
  <si>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</si>
  <si>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</si>
  <si>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</si>
  <si>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</si>
  <si>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</si>
  <si>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</si>
  <si>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</si>
  <si>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</si>
  <si>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</si>
  <si>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</si>
  <si>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</si>
  <si>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</si>
  <si>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</si>
  <si>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</si>
  <si>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</si>
  <si>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</si>
  <si>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</si>
  <si>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</si>
  <si>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</si>
  <si>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</si>
  <si>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</si>
  <si>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</si>
  <si>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</si>
  <si>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</si>
  <si>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</si>
  <si>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</si>
  <si>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</si>
  <si>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</si>
  <si>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</si>
  <si>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</si>
  <si>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</si>
  <si>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</si>
  <si>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</si>
  <si>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</si>
  <si>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</si>
  <si>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</si>
  <si>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</si>
  <si>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</si>
  <si>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</si>
  <si>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</si>
  <si>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</si>
  <si>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</si>
  <si>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</si>
  <si>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</si>
  <si>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</si>
  <si>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</si>
  <si>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</si>
  <si>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</si>
  <si>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</si>
  <si>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</si>
  <si>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</si>
  <si>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</si>
  <si>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</si>
  <si>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</si>
  <si>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</si>
  <si>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</si>
  <si>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</si>
  <si>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</si>
  <si>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</si>
  <si>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</si>
  <si>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</si>
  <si>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</si>
  <si>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</si>
  <si>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</si>
  <si>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</si>
  <si>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</si>
  <si>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</si>
  <si>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</si>
  <si>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</si>
  <si>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</si>
  <si>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</si>
  <si>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</si>
  <si>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</si>
  <si>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</si>
  <si>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</si>
  <si>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</si>
  <si>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</si>
  <si>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</si>
  <si>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</si>
  <si>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</si>
  <si>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</si>
  <si>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</si>
  <si>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</si>
  <si>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</si>
  <si>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</si>
  <si>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</si>
  <si>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</si>
  <si>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</si>
  <si>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</si>
  <si>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</si>
  <si>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</si>
  <si>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</si>
  <si>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</si>
  <si>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</si>
  <si>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</si>
  <si>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</si>
  <si>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</si>
  <si>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</si>
  <si>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</si>
  <si>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</si>
  <si>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</si>
  <si>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</si>
  <si>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</si>
  <si>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</si>
  <si>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</si>
  <si>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</si>
  <si>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</si>
  <si>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</si>
  <si>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</si>
  <si>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</si>
  <si>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</si>
  <si>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</si>
  <si>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</si>
  <si>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</si>
  <si>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</si>
  <si>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</si>
  <si>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</si>
  <si>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</si>
  <si>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</si>
  <si>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</si>
  <si>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</si>
  <si>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</si>
  <si>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</si>
  <si>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</si>
  <si>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</si>
  <si>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</si>
  <si>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</si>
  <si>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</si>
  <si>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</si>
  <si>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</si>
  <si>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</si>
  <si>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</si>
  <si>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</si>
  <si>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</si>
  <si>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</si>
  <si>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</si>
  <si>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</si>
  <si>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</si>
  <si>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</si>
  <si>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</si>
  <si>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</si>
  <si>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</si>
  <si>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</si>
  <si>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</si>
  <si>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</si>
  <si>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</si>
  <si>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</si>
  <si>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</si>
  <si>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</si>
  <si>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</si>
  <si>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</si>
  <si>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</si>
  <si>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</si>
  <si>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</si>
  <si>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</si>
  <si>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</si>
  <si>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</si>
  <si>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</si>
  <si>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</si>
  <si>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</si>
  <si>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</si>
  <si>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</si>
  <si>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</si>
  <si>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</si>
  <si>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</si>
  <si>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</si>
  <si>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</si>
  <si>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</si>
  <si>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</si>
  <si>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</si>
  <si>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</si>
  <si>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</si>
  <si>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</si>
  <si>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</si>
  <si>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</si>
  <si>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</si>
  <si>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</si>
  <si>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</si>
  <si>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</si>
  <si>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</si>
  <si>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</si>
  <si>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</si>
  <si>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</si>
  <si>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</si>
  <si>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</si>
  <si>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</si>
  <si>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</si>
  <si>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</si>
  <si>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</si>
  <si>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</si>
  <si>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</si>
  <si>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</si>
  <si>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</si>
  <si>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</si>
  <si>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</si>
  <si>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</si>
  <si>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</si>
  <si>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</si>
  <si>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</si>
  <si>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</si>
  <si>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box_n_0001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</si>
  <si>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</si>
  <si>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</si>
  <si>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</si>
  <si>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</si>
  <si>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</si>
  <si>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</si>
  <si>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</si>
  <si>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</si>
  <si>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</si>
  <si>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</si>
  <si>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</si>
  <si>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</si>
  <si>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</si>
  <si>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</si>
  <si>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</si>
  <si>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</si>
  <si>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</si>
  <si>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</si>
  <si>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</si>
  <si>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</si>
  <si>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</si>
  <si>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</si>
  <si>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</si>
  <si>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</si>
  <si>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</si>
  <si>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</si>
  <si>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</si>
  <si>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</si>
  <si>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</si>
  <si>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</si>
  <si>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</si>
  <si>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</si>
  <si>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</si>
  <si>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</si>
  <si>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</si>
  <si>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</si>
  <si>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</si>
  <si>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</si>
  <si>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</si>
  <si>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</si>
  <si>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</si>
  <si>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</si>
  <si>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</si>
  <si>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</si>
  <si>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</si>
  <si>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</si>
  <si>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</si>
  <si>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</si>
  <si>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</si>
  <si>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</si>
  <si>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</si>
  <si>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</si>
  <si>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</si>
  <si>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</si>
  <si>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</si>
  <si>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</si>
  <si>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</si>
  <si>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</si>
  <si>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</si>
  <si>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</si>
  <si>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</si>
  <si>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</si>
  <si>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</si>
  <si>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</si>
  <si>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</si>
  <si>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</si>
  <si>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</si>
  <si>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</si>
  <si>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</si>
  <si>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</si>
  <si>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</si>
  <si>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</si>
  <si>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</si>
  <si>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</si>
  <si>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</si>
  <si>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</si>
  <si>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</si>
  <si>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</si>
  <si>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</si>
  <si>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</si>
  <si>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</si>
  <si>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</si>
  <si>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</si>
  <si>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</si>
  <si>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</si>
  <si>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</si>
  <si>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</si>
  <si>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</si>
  <si>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</si>
  <si>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</si>
  <si>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</si>
  <si>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</si>
  <si>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</si>
  <si>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</si>
  <si>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</si>
  <si>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</si>
  <si>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</si>
  <si>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</si>
  <si>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</si>
  <si>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</si>
  <si>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</si>
  <si>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</si>
  <si>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</si>
  <si>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</si>
  <si>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</si>
  <si>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</si>
  <si>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</si>
  <si>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</si>
  <si>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</si>
  <si>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</si>
  <si>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</si>
  <si>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</si>
  <si>
    <t>박쥐</t>
    <phoneticPr fontId="1" type="noConversion"/>
  </si>
  <si>
    <t>mob_n_0013</t>
    <phoneticPr fontId="1" type="noConversion"/>
  </si>
  <si>
    <t>mob_0014</t>
    <phoneticPr fontId="1" type="noConversion"/>
  </si>
  <si>
    <t>구울</t>
    <phoneticPr fontId="1" type="noConversion"/>
  </si>
  <si>
    <t>mob_n_0014</t>
    <phoneticPr fontId="1" type="noConversion"/>
  </si>
  <si>
    <t>mob_0013</t>
    <phoneticPr fontId="1" type="noConversion"/>
  </si>
  <si>
    <t>보물상자 01</t>
    <phoneticPr fontId="1" type="noConversion"/>
  </si>
  <si>
    <t>보물상자 02</t>
  </si>
  <si>
    <t>box_n_0002</t>
  </si>
  <si>
    <t>STR_BOX_N_0002</t>
  </si>
  <si>
    <t>보물상자 03</t>
  </si>
  <si>
    <t>box_n_0003</t>
  </si>
  <si>
    <t>STR_BOX_N_0003</t>
  </si>
  <si>
    <t>chest_01</t>
    <phoneticPr fontId="1" type="noConversion"/>
  </si>
  <si>
    <t>chest_01</t>
    <phoneticPr fontId="1" type="noConversion"/>
  </si>
  <si>
    <t>데미지 상자 01</t>
    <phoneticPr fontId="1" type="noConversion"/>
  </si>
  <si>
    <t>damagn_box_n_0001</t>
    <phoneticPr fontId="1" type="noConversion"/>
  </si>
  <si>
    <t>OBJECT</t>
  </si>
  <si>
    <t>chest_02</t>
    <phoneticPr fontId="1" type="noConversion"/>
  </si>
  <si>
    <t>데미지 필드 01</t>
    <phoneticPr fontId="1" type="noConversion"/>
  </si>
  <si>
    <t>trap_n_0001</t>
    <phoneticPr fontId="1" type="noConversion"/>
  </si>
  <si>
    <t>STR_TRAP_N_0001</t>
    <phoneticPr fontId="1" type="noConversion"/>
  </si>
  <si>
    <t>데미지 필드 02</t>
  </si>
  <si>
    <t>trap_n_0002</t>
  </si>
  <si>
    <t>STR_TRAP_N_0002</t>
  </si>
  <si>
    <t>trap_03</t>
    <phoneticPr fontId="1" type="noConversion"/>
  </si>
  <si>
    <t>trap_01</t>
    <phoneticPr fontId="1" type="noConversion"/>
  </si>
  <si>
    <t>문 01</t>
    <phoneticPr fontId="1" type="noConversion"/>
  </si>
  <si>
    <t>door_n_0001</t>
    <phoneticPr fontId="1" type="noConversion"/>
  </si>
  <si>
    <t>STR_DOOR_N_0001</t>
    <phoneticPr fontId="1" type="noConversion"/>
  </si>
  <si>
    <t>door_01</t>
    <phoneticPr fontId="1" type="noConversion"/>
  </si>
  <si>
    <t>trap_n_0003</t>
  </si>
  <si>
    <t>STR_TRAP_N_0003</t>
  </si>
  <si>
    <t>데미지 필드 03</t>
  </si>
  <si>
    <t>empty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</si>
</sst>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263</v>
      </c>
      <c r="C10" s="25" t="s">
        <v>264</v>
      </c>
      <c r="D10" s="20" t="s">
        <v>265</v>
      </c>
      <c r="E10" s="20">
        <v>0</v>
      </c>
      <c r="F10" s="20">
        <v>0</v>
      </c>
      <c r="G10" s="20">
        <v>100</v>
      </c>
      <c r="H10" s="26" t="s">
        <v>263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281</v>
      </c>
      <c r="C20" s="25" t="s">
        <v>282</v>
      </c>
      <c r="D20" s="25" t="s">
        <v>283</v>
      </c>
      <c r="E20" s="25" t="s">
        <v>43</v>
      </c>
      <c r="F20" s="25">
        <v>0</v>
      </c>
      <c r="G20" s="20">
        <v>32</v>
      </c>
      <c r="H20" s="26" t="s">
        <v>284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54"/>
  <sheetViews>
    <sheetView tabSelected="1" topLeftCell="F1" workbookViewId="0">
      <pane ySplit="1" topLeftCell="A11" activePane="bottomLeft" state="frozen"/>
      <selection activeCell="E1" sqref="E1"/>
      <selection pane="bottomLeft" activeCell="Q48" sqref="Q48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266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280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206</v>
      </c>
      <c r="V4" s="33" t="s">
        <v>207</v>
      </c>
      <c r="W4" s="33" t="s">
        <v>208</v>
      </c>
      <c r="X4" s="33" t="s">
        <v>209</v>
      </c>
      <c r="Y4" s="33" t="s">
        <v>210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211</v>
      </c>
      <c r="C18" s="35" t="s">
        <v>212</v>
      </c>
      <c r="D18" s="33" t="s">
        <v>214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213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267</v>
      </c>
      <c r="C19" s="35" t="s">
        <v>216</v>
      </c>
      <c r="D19" s="33" t="s">
        <v>217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218</v>
      </c>
      <c r="U19" s="33" t="s">
        <v>219</v>
      </c>
      <c r="V19" s="33" t="s">
        <v>220</v>
      </c>
      <c r="W19" s="33" t="s">
        <v>221</v>
      </c>
      <c r="X19" s="33" t="s">
        <v>222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227</v>
      </c>
      <c r="C20" s="35" t="s">
        <v>228</v>
      </c>
      <c r="D20" s="33" t="s">
        <v>229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230</v>
      </c>
      <c r="U20" s="33" t="s">
        <v>231</v>
      </c>
      <c r="V20" s="33" t="s">
        <v>232</v>
      </c>
      <c r="W20" s="33" t="s">
        <v>233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215</v>
      </c>
      <c r="C21" s="35" t="s">
        <v>268</v>
      </c>
      <c r="D21" s="33" t="s">
        <v>217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270</v>
      </c>
      <c r="U21" s="33" t="s">
        <v>272</v>
      </c>
      <c r="V21" s="33" t="s">
        <v>273</v>
      </c>
      <c r="W21" s="33" t="s">
        <v>274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215</v>
      </c>
      <c r="C22" s="35" t="s">
        <v>269</v>
      </c>
      <c r="D22" s="33" t="s">
        <v>217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271</v>
      </c>
      <c r="U22" s="33" t="s">
        <v>275</v>
      </c>
      <c r="V22" s="33" t="s">
        <v>276</v>
      </c>
      <c r="W22" s="33" t="s">
        <v>277</v>
      </c>
      <c r="X22" s="33" t="s">
        <v>278</v>
      </c>
      <c r="Y22" s="33" t="s">
        <v>279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287</v>
      </c>
      <c r="C23" s="35" t="s">
        <v>291</v>
      </c>
      <c r="D23" s="33" t="s">
        <v>290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289</v>
      </c>
      <c r="T23" s="33" t="s">
        <v>294</v>
      </c>
      <c r="U23" s="33" t="s">
        <v>301</v>
      </c>
      <c r="V23" s="33" t="s">
        <v>302</v>
      </c>
      <c r="W23" s="33" t="s">
        <v>303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288</v>
      </c>
      <c r="C24" s="35" t="s">
        <v>292</v>
      </c>
      <c r="D24" s="33" t="s">
        <v>290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289</v>
      </c>
      <c r="T24" s="33" t="s">
        <v>295</v>
      </c>
      <c r="U24" s="33" t="s">
        <v>304</v>
      </c>
      <c r="V24" s="33" t="s">
        <v>305</v>
      </c>
      <c r="W24" s="33" t="s">
        <v>306</v>
      </c>
      <c r="X24" s="33" t="s">
        <v>307</v>
      </c>
      <c r="Y24" s="33" t="s">
        <v>308</v>
      </c>
      <c r="Z24" s="33" t="s">
        <v>309</v>
      </c>
      <c r="AA24" s="33"/>
      <c r="AB24" s="33"/>
      <c r="AC24" s="33"/>
    </row>
    <row r="25" spans="1:29" x14ac:dyDescent="0.3">
      <c r="A25" s="33">
        <v>20023</v>
      </c>
      <c r="B25" s="34" t="s">
        <v>298</v>
      </c>
      <c r="C25" s="35" t="s">
        <v>293</v>
      </c>
      <c r="D25" s="33" t="s">
        <v>290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289</v>
      </c>
      <c r="T25" s="33" t="s">
        <v>296</v>
      </c>
      <c r="U25" s="33" t="s">
        <v>310</v>
      </c>
      <c r="V25" s="33" t="s">
        <v>311</v>
      </c>
      <c r="W25" s="33" t="s">
        <v>312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297</v>
      </c>
      <c r="C26" s="35" t="s">
        <v>299</v>
      </c>
      <c r="D26" s="33" t="s">
        <v>290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289</v>
      </c>
      <c r="T26" s="33" t="s">
        <v>300</v>
      </c>
      <c r="U26" s="33" t="s">
        <v>313</v>
      </c>
      <c r="V26" s="33" t="s">
        <v>314</v>
      </c>
      <c r="W26" s="33" t="s">
        <v>315</v>
      </c>
      <c r="X26" s="33" t="s">
        <v>316</v>
      </c>
      <c r="Y26" s="33"/>
      <c r="Z26" s="33"/>
      <c r="AA26" s="33"/>
      <c r="AB26" s="33"/>
      <c r="AC26" s="33"/>
    </row>
    <row r="27" spans="1:29" x14ac:dyDescent="0.3">
      <c r="A27" s="40">
        <v>22000</v>
      </c>
      <c r="B27" s="41" t="s">
        <v>247</v>
      </c>
      <c r="C27" s="42" t="s">
        <v>100</v>
      </c>
      <c r="D27" s="40" t="str">
        <f t="shared" ref="D27:D28" si="12">"STR_"&amp;UPPER(C27)</f>
        <v>STR_MOB_N_0001</v>
      </c>
      <c r="E27" s="40" t="str">
        <f t="shared" ref="E27:E41" si="13">D27&amp;"_DESC"</f>
        <v>STR_MOB_N_0001_DESC</v>
      </c>
      <c r="F27" s="40" t="s">
        <v>101</v>
      </c>
      <c r="G27" s="40">
        <v>10</v>
      </c>
      <c r="H27" s="40">
        <v>1</v>
      </c>
      <c r="I27" s="40">
        <v>1</v>
      </c>
      <c r="J27" s="40">
        <v>0</v>
      </c>
      <c r="K27" s="40">
        <v>1200</v>
      </c>
      <c r="L27" s="40">
        <v>30</v>
      </c>
      <c r="M27" s="40">
        <v>20</v>
      </c>
      <c r="N27" s="40" t="s">
        <v>225</v>
      </c>
      <c r="O27" s="40"/>
      <c r="P27" s="40"/>
      <c r="Q27" s="40" t="s">
        <v>226</v>
      </c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 spans="1:29" x14ac:dyDescent="0.3">
      <c r="A28" s="40">
        <v>22001</v>
      </c>
      <c r="B28" s="40" t="s">
        <v>137</v>
      </c>
      <c r="C28" s="41" t="s">
        <v>138</v>
      </c>
      <c r="D28" s="40" t="str">
        <f t="shared" si="12"/>
        <v>STR_MOB_N_0002</v>
      </c>
      <c r="E28" s="40" t="str">
        <f t="shared" si="13"/>
        <v>STR_MOB_N_0002_DESC</v>
      </c>
      <c r="F28" s="40" t="s">
        <v>101</v>
      </c>
      <c r="G28" s="40">
        <v>1</v>
      </c>
      <c r="H28" s="40">
        <v>1</v>
      </c>
      <c r="I28" s="40">
        <v>1</v>
      </c>
      <c r="J28" s="40">
        <v>0</v>
      </c>
      <c r="K28" s="40">
        <v>2400</v>
      </c>
      <c r="L28" s="40">
        <v>0</v>
      </c>
      <c r="M28" s="40">
        <v>10</v>
      </c>
      <c r="N28" s="40"/>
      <c r="O28" s="40"/>
      <c r="P28" s="40"/>
      <c r="Q28" s="40" t="s">
        <v>139</v>
      </c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 spans="1:29" x14ac:dyDescent="0.3">
      <c r="A29" s="40">
        <v>22002</v>
      </c>
      <c r="B29" s="41" t="s">
        <v>249</v>
      </c>
      <c r="C29" s="42" t="s">
        <v>286</v>
      </c>
      <c r="D29" s="40" t="str">
        <f t="shared" ref="D29" si="14">"STR_"&amp;UPPER(C29)</f>
        <v>STR_MOB_N_0003</v>
      </c>
      <c r="E29" s="40" t="str">
        <f t="shared" ref="E29" si="15">D29&amp;"_DESC"</f>
        <v>STR_MOB_N_0003_DESC</v>
      </c>
      <c r="F29" s="40" t="s">
        <v>101</v>
      </c>
      <c r="G29" s="40">
        <v>60</v>
      </c>
      <c r="H29" s="40">
        <v>1</v>
      </c>
      <c r="I29" s="40">
        <v>1</v>
      </c>
      <c r="J29" s="40">
        <v>0</v>
      </c>
      <c r="K29" s="40">
        <v>1500</v>
      </c>
      <c r="L29" s="40">
        <v>15</v>
      </c>
      <c r="M29" s="40">
        <v>30</v>
      </c>
      <c r="N29" s="40" t="s">
        <v>224</v>
      </c>
      <c r="O29" s="40"/>
      <c r="P29" s="40"/>
      <c r="Q29" s="40" t="s">
        <v>102</v>
      </c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 spans="1:29" x14ac:dyDescent="0.3">
      <c r="A30" s="40">
        <v>22003</v>
      </c>
      <c r="B30" s="41" t="s">
        <v>243</v>
      </c>
      <c r="C30" s="42" t="s">
        <v>234</v>
      </c>
      <c r="D30" s="40" t="str">
        <f t="shared" ref="D30" si="16">"STR_"&amp;UPPER(C30)</f>
        <v>STR_MOB_N_0004</v>
      </c>
      <c r="E30" s="40" t="str">
        <f t="shared" ref="E30" si="17">D30&amp;"_DESC"</f>
        <v>STR_MOB_N_0004_DESC</v>
      </c>
      <c r="F30" s="40" t="s">
        <v>101</v>
      </c>
      <c r="G30" s="40">
        <v>25</v>
      </c>
      <c r="H30" s="40">
        <v>1</v>
      </c>
      <c r="I30" s="40">
        <v>1</v>
      </c>
      <c r="J30" s="40">
        <v>0</v>
      </c>
      <c r="K30" s="40">
        <v>1500</v>
      </c>
      <c r="L30" s="40">
        <v>20</v>
      </c>
      <c r="M30" s="40">
        <v>50</v>
      </c>
      <c r="N30" s="40" t="s">
        <v>224</v>
      </c>
      <c r="O30" s="40"/>
      <c r="P30" s="40"/>
      <c r="Q30" s="40" t="s">
        <v>244</v>
      </c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 spans="1:29" x14ac:dyDescent="0.3">
      <c r="A31" s="40">
        <v>22004</v>
      </c>
      <c r="B31" s="41" t="s">
        <v>245</v>
      </c>
      <c r="C31" s="42" t="s">
        <v>235</v>
      </c>
      <c r="D31" s="40" t="str">
        <f t="shared" ref="D31:D39" si="18">"STR_"&amp;UPPER(C31)</f>
        <v>STR_MOB_N_0005</v>
      </c>
      <c r="E31" s="40" t="str">
        <f t="shared" ref="E31:E39" si="19">D31&amp;"_DESC"</f>
        <v>STR_MOB_N_0005_DESC</v>
      </c>
      <c r="F31" s="40" t="s">
        <v>101</v>
      </c>
      <c r="G31" s="40">
        <v>1</v>
      </c>
      <c r="H31" s="40">
        <v>1</v>
      </c>
      <c r="I31" s="40">
        <v>1</v>
      </c>
      <c r="J31" s="40">
        <v>0</v>
      </c>
      <c r="K31" s="40">
        <v>1200</v>
      </c>
      <c r="L31" s="40">
        <v>70</v>
      </c>
      <c r="M31" s="40">
        <v>10</v>
      </c>
      <c r="N31" s="40" t="s">
        <v>224</v>
      </c>
      <c r="O31" s="40"/>
      <c r="P31" s="40"/>
      <c r="Q31" s="40" t="s">
        <v>246</v>
      </c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 spans="1:29" x14ac:dyDescent="0.3">
      <c r="A32" s="40">
        <v>22005</v>
      </c>
      <c r="B32" s="41" t="s">
        <v>248</v>
      </c>
      <c r="C32" s="42" t="s">
        <v>236</v>
      </c>
      <c r="D32" s="40" t="str">
        <f t="shared" si="18"/>
        <v>STR_MOB_N_0006</v>
      </c>
      <c r="E32" s="40" t="str">
        <f t="shared" si="19"/>
        <v>STR_MOB_N_0006_DESC</v>
      </c>
      <c r="F32" s="40" t="s">
        <v>101</v>
      </c>
      <c r="G32" s="40">
        <v>40</v>
      </c>
      <c r="H32" s="40">
        <v>1</v>
      </c>
      <c r="I32" s="40">
        <v>1</v>
      </c>
      <c r="J32" s="40">
        <v>0</v>
      </c>
      <c r="K32" s="40">
        <v>1000</v>
      </c>
      <c r="L32" s="40">
        <v>60</v>
      </c>
      <c r="M32" s="40">
        <v>25</v>
      </c>
      <c r="N32" s="40" t="s">
        <v>224</v>
      </c>
      <c r="O32" s="40"/>
      <c r="P32" s="40"/>
      <c r="Q32" s="40" t="s">
        <v>251</v>
      </c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 spans="1:29" x14ac:dyDescent="0.3">
      <c r="A33" s="40">
        <v>22006</v>
      </c>
      <c r="B33" s="41" t="s">
        <v>250</v>
      </c>
      <c r="C33" s="42" t="s">
        <v>237</v>
      </c>
      <c r="D33" s="40" t="str">
        <f t="shared" si="18"/>
        <v>STR_MOB_N_0007</v>
      </c>
      <c r="E33" s="40" t="str">
        <f t="shared" si="19"/>
        <v>STR_MOB_N_0007_DESC</v>
      </c>
      <c r="F33" s="40" t="s">
        <v>101</v>
      </c>
      <c r="G33" s="40">
        <v>60</v>
      </c>
      <c r="H33" s="40">
        <v>1</v>
      </c>
      <c r="I33" s="40">
        <v>1</v>
      </c>
      <c r="J33" s="40">
        <v>0</v>
      </c>
      <c r="K33" s="40">
        <v>900</v>
      </c>
      <c r="L33" s="40">
        <v>70</v>
      </c>
      <c r="M33" s="40">
        <v>35</v>
      </c>
      <c r="N33" s="40" t="s">
        <v>224</v>
      </c>
      <c r="O33" s="40"/>
      <c r="P33" s="40"/>
      <c r="Q33" s="40" t="s">
        <v>252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 spans="1:29" x14ac:dyDescent="0.3">
      <c r="A34" s="40">
        <v>22007</v>
      </c>
      <c r="B34" s="41" t="s">
        <v>258</v>
      </c>
      <c r="C34" s="42" t="s">
        <v>238</v>
      </c>
      <c r="D34" s="40" t="str">
        <f t="shared" si="18"/>
        <v>STR_MOB_N_0008</v>
      </c>
      <c r="E34" s="40" t="str">
        <f t="shared" si="19"/>
        <v>STR_MOB_N_0008_DESC</v>
      </c>
      <c r="F34" s="40" t="s">
        <v>101</v>
      </c>
      <c r="G34" s="40">
        <v>80</v>
      </c>
      <c r="H34" s="40">
        <v>1</v>
      </c>
      <c r="I34" s="40">
        <v>1</v>
      </c>
      <c r="J34" s="40">
        <v>0</v>
      </c>
      <c r="K34" s="40">
        <v>800</v>
      </c>
      <c r="L34" s="40">
        <v>80</v>
      </c>
      <c r="M34" s="40">
        <v>45</v>
      </c>
      <c r="N34" s="40" t="s">
        <v>224</v>
      </c>
      <c r="O34" s="40"/>
      <c r="P34" s="40"/>
      <c r="Q34" s="40" t="s">
        <v>253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 spans="1:29" x14ac:dyDescent="0.3">
      <c r="A35" s="40">
        <v>22008</v>
      </c>
      <c r="B35" s="41" t="s">
        <v>259</v>
      </c>
      <c r="C35" s="42" t="s">
        <v>239</v>
      </c>
      <c r="D35" s="40" t="str">
        <f t="shared" si="18"/>
        <v>STR_MOB_N_0009</v>
      </c>
      <c r="E35" s="40" t="str">
        <f t="shared" si="19"/>
        <v>STR_MOB_N_0009_DESC</v>
      </c>
      <c r="F35" s="40" t="s">
        <v>101</v>
      </c>
      <c r="G35" s="40">
        <v>1</v>
      </c>
      <c r="H35" s="40">
        <v>1</v>
      </c>
      <c r="I35" s="40">
        <v>1</v>
      </c>
      <c r="J35" s="40">
        <v>0</v>
      </c>
      <c r="K35" s="40">
        <v>1800</v>
      </c>
      <c r="L35" s="40">
        <v>20</v>
      </c>
      <c r="M35" s="40">
        <v>5</v>
      </c>
      <c r="N35" s="40" t="s">
        <v>224</v>
      </c>
      <c r="O35" s="40"/>
      <c r="P35" s="40"/>
      <c r="Q35" s="40" t="s">
        <v>254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 spans="1:29" x14ac:dyDescent="0.3">
      <c r="A36" s="40">
        <v>22009</v>
      </c>
      <c r="B36" s="41" t="s">
        <v>262</v>
      </c>
      <c r="C36" s="42" t="s">
        <v>240</v>
      </c>
      <c r="D36" s="40" t="str">
        <f t="shared" si="18"/>
        <v>STR_MOB_N_0010</v>
      </c>
      <c r="E36" s="40" t="str">
        <f t="shared" si="19"/>
        <v>STR_MOB_N_0010_DESC</v>
      </c>
      <c r="F36" s="40" t="s">
        <v>101</v>
      </c>
      <c r="G36" s="40">
        <v>50</v>
      </c>
      <c r="H36" s="40">
        <v>50</v>
      </c>
      <c r="I36" s="40">
        <v>3</v>
      </c>
      <c r="J36" s="40">
        <v>0</v>
      </c>
      <c r="K36" s="40">
        <v>1500</v>
      </c>
      <c r="L36" s="40">
        <v>0</v>
      </c>
      <c r="M36" s="40">
        <v>70</v>
      </c>
      <c r="N36" s="40" t="s">
        <v>224</v>
      </c>
      <c r="O36" s="40"/>
      <c r="P36" s="40"/>
      <c r="Q36" s="40" t="s">
        <v>255</v>
      </c>
      <c r="R36" s="40"/>
      <c r="S36" s="40" t="s">
        <v>285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 spans="1:29" x14ac:dyDescent="0.3">
      <c r="A37" s="40">
        <v>22010</v>
      </c>
      <c r="B37" s="41" t="s">
        <v>260</v>
      </c>
      <c r="C37" s="42" t="s">
        <v>241</v>
      </c>
      <c r="D37" s="40" t="str">
        <f t="shared" si="18"/>
        <v>STR_MOB_N_0011</v>
      </c>
      <c r="E37" s="40" t="str">
        <f t="shared" si="19"/>
        <v>STR_MOB_N_0011_DESC</v>
      </c>
      <c r="F37" s="40" t="s">
        <v>101</v>
      </c>
      <c r="G37" s="40">
        <v>100</v>
      </c>
      <c r="H37" s="40">
        <v>70</v>
      </c>
      <c r="I37" s="40">
        <v>5</v>
      </c>
      <c r="J37" s="40">
        <v>0</v>
      </c>
      <c r="K37" s="40">
        <v>1200</v>
      </c>
      <c r="L37" s="40">
        <v>45</v>
      </c>
      <c r="M37" s="40">
        <v>250</v>
      </c>
      <c r="N37" s="40" t="s">
        <v>224</v>
      </c>
      <c r="O37" s="40"/>
      <c r="P37" s="40"/>
      <c r="Q37" s="40" t="s">
        <v>256</v>
      </c>
      <c r="R37" s="40"/>
      <c r="S37" s="40" t="s">
        <v>285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 spans="1:29" x14ac:dyDescent="0.3">
      <c r="A38" s="40">
        <v>22011</v>
      </c>
      <c r="B38" s="41" t="s">
        <v>261</v>
      </c>
      <c r="C38" s="42" t="s">
        <v>242</v>
      </c>
      <c r="D38" s="40" t="str">
        <f t="shared" si="18"/>
        <v>STR_MOB_N_0012</v>
      </c>
      <c r="E38" s="40" t="str">
        <f t="shared" si="19"/>
        <v>STR_MOB_N_0012_DESC</v>
      </c>
      <c r="F38" s="40" t="s">
        <v>101</v>
      </c>
      <c r="G38" s="40">
        <v>120</v>
      </c>
      <c r="H38" s="40">
        <v>80</v>
      </c>
      <c r="I38" s="40">
        <v>4</v>
      </c>
      <c r="J38" s="40">
        <v>0</v>
      </c>
      <c r="K38" s="40">
        <v>1000</v>
      </c>
      <c r="L38" s="40">
        <v>60</v>
      </c>
      <c r="M38" s="40">
        <v>200</v>
      </c>
      <c r="N38" s="40" t="s">
        <v>224</v>
      </c>
      <c r="O38" s="40"/>
      <c r="P38" s="40"/>
      <c r="Q38" s="40" t="s">
        <v>257</v>
      </c>
      <c r="R38" s="40"/>
      <c r="S38" s="40" t="s">
        <v>285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 spans="1:29" x14ac:dyDescent="0.3">
      <c r="A39" s="40">
        <v>22012</v>
      </c>
      <c r="B39" s="41" t="s">
        <v>317</v>
      </c>
      <c r="C39" s="42" t="s">
        <v>318</v>
      </c>
      <c r="D39" s="40" t="str">
        <f t="shared" si="18"/>
        <v>STR_MOB_N_0013</v>
      </c>
      <c r="E39" s="40" t="str">
        <f t="shared" si="19"/>
        <v>STR_MOB_N_0013_DESC</v>
      </c>
      <c r="F39" s="40" t="s">
        <v>101</v>
      </c>
      <c r="G39" s="40">
        <v>25</v>
      </c>
      <c r="H39" s="40">
        <v>1</v>
      </c>
      <c r="I39" s="40">
        <v>1</v>
      </c>
      <c r="J39" s="40">
        <v>0</v>
      </c>
      <c r="K39" s="40">
        <v>1500</v>
      </c>
      <c r="L39" s="40">
        <v>20</v>
      </c>
      <c r="M39" s="40">
        <v>1</v>
      </c>
      <c r="N39" s="40" t="s">
        <v>224</v>
      </c>
      <c r="O39" s="40"/>
      <c r="P39" s="40"/>
      <c r="Q39" s="40" t="s">
        <v>319</v>
      </c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 spans="1:29" x14ac:dyDescent="0.3">
      <c r="A40" s="40">
        <v>22013</v>
      </c>
      <c r="B40" s="41" t="s">
        <v>320</v>
      </c>
      <c r="C40" s="42" t="s">
        <v>321</v>
      </c>
      <c r="D40" s="40" t="str">
        <f t="shared" ref="D40" si="20">"STR_"&amp;UPPER(C40)</f>
        <v>STR_MOB_N_0014</v>
      </c>
      <c r="E40" s="40" t="str">
        <f t="shared" ref="E40" si="21">D40&amp;"_DESC"</f>
        <v>STR_MOB_N_0014_DESC</v>
      </c>
      <c r="F40" s="40" t="s">
        <v>101</v>
      </c>
      <c r="G40" s="40">
        <v>20</v>
      </c>
      <c r="H40" s="40">
        <v>60</v>
      </c>
      <c r="I40" s="40">
        <v>3</v>
      </c>
      <c r="J40" s="40">
        <v>0</v>
      </c>
      <c r="K40" s="40">
        <v>1500</v>
      </c>
      <c r="L40" s="40">
        <v>15</v>
      </c>
      <c r="M40" s="40">
        <v>70</v>
      </c>
      <c r="N40" s="40" t="s">
        <v>224</v>
      </c>
      <c r="O40" s="40"/>
      <c r="P40" s="40"/>
      <c r="Q40" s="40" t="s">
        <v>322</v>
      </c>
      <c r="R40" s="40"/>
      <c r="S40" s="40" t="s">
        <v>285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 spans="1:29" x14ac:dyDescent="0.3">
      <c r="A41" s="33">
        <v>25000</v>
      </c>
      <c r="B41" s="34" t="s">
        <v>323</v>
      </c>
      <c r="C41" s="35" t="s">
        <v>204</v>
      </c>
      <c r="D41" s="33" t="s">
        <v>223</v>
      </c>
      <c r="E41" s="33" t="str">
        <f t="shared" si="13"/>
        <v>STR_BOX_N_0001_DESC</v>
      </c>
      <c r="F41" s="33" t="s">
        <v>88</v>
      </c>
      <c r="G41" s="33">
        <v>0</v>
      </c>
      <c r="H41" s="33">
        <v>0</v>
      </c>
      <c r="I41" s="33">
        <v>1</v>
      </c>
      <c r="J41" s="33">
        <v>0</v>
      </c>
      <c r="K41" s="33">
        <v>0</v>
      </c>
      <c r="L41" s="33">
        <v>0</v>
      </c>
      <c r="M41" s="33">
        <v>0</v>
      </c>
      <c r="N41" s="33" t="s">
        <v>205</v>
      </c>
      <c r="O41" s="33"/>
      <c r="P41" s="33"/>
      <c r="Q41" s="36" t="s">
        <v>330</v>
      </c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x14ac:dyDescent="0.3">
      <c r="A42" s="33">
        <v>25001</v>
      </c>
      <c r="B42" s="34" t="s">
        <v>324</v>
      </c>
      <c r="C42" s="35" t="s">
        <v>325</v>
      </c>
      <c r="D42" s="33" t="s">
        <v>326</v>
      </c>
      <c r="E42" s="33" t="str">
        <f t="shared" ref="E42:E44" si="22">D42&amp;"_DESC"</f>
        <v>STR_BOX_N_0002_DESC</v>
      </c>
      <c r="F42" s="33" t="s">
        <v>88</v>
      </c>
      <c r="G42" s="33">
        <v>0</v>
      </c>
      <c r="H42" s="33">
        <v>0</v>
      </c>
      <c r="I42" s="33">
        <v>1</v>
      </c>
      <c r="J42" s="33">
        <v>0</v>
      </c>
      <c r="K42" s="33">
        <v>0</v>
      </c>
      <c r="L42" s="33">
        <v>0</v>
      </c>
      <c r="M42" s="33">
        <v>0</v>
      </c>
      <c r="N42" s="33" t="s">
        <v>205</v>
      </c>
      <c r="O42" s="33"/>
      <c r="P42" s="33"/>
      <c r="Q42" s="36" t="s">
        <v>330</v>
      </c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x14ac:dyDescent="0.3">
      <c r="A43" s="33">
        <v>25002</v>
      </c>
      <c r="B43" s="34" t="s">
        <v>327</v>
      </c>
      <c r="C43" s="35" t="s">
        <v>328</v>
      </c>
      <c r="D43" s="33" t="s">
        <v>329</v>
      </c>
      <c r="E43" s="33" t="str">
        <f t="shared" si="22"/>
        <v>STR_BOX_N_0003_DESC</v>
      </c>
      <c r="F43" s="33" t="s">
        <v>88</v>
      </c>
      <c r="G43" s="33">
        <v>0</v>
      </c>
      <c r="H43" s="33">
        <v>0</v>
      </c>
      <c r="I43" s="33">
        <v>1</v>
      </c>
      <c r="J43" s="33">
        <v>0</v>
      </c>
      <c r="K43" s="33">
        <v>0</v>
      </c>
      <c r="L43" s="33">
        <v>0</v>
      </c>
      <c r="M43" s="33">
        <v>0</v>
      </c>
      <c r="N43" s="33" t="s">
        <v>205</v>
      </c>
      <c r="O43" s="33"/>
      <c r="P43" s="33"/>
      <c r="Q43" s="36" t="s">
        <v>331</v>
      </c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x14ac:dyDescent="0.3">
      <c r="A44" s="40">
        <v>26000</v>
      </c>
      <c r="B44" s="41" t="s">
        <v>332</v>
      </c>
      <c r="C44" s="42" t="s">
        <v>333</v>
      </c>
      <c r="D44" s="40" t="s">
        <v>223</v>
      </c>
      <c r="E44" s="40" t="str">
        <f t="shared" si="22"/>
        <v>STR_BOX_N_0001_DESC</v>
      </c>
      <c r="F44" s="40" t="s">
        <v>334</v>
      </c>
      <c r="G44" s="40">
        <v>300</v>
      </c>
      <c r="H44" s="40">
        <v>0</v>
      </c>
      <c r="I44" s="40">
        <v>1</v>
      </c>
      <c r="J44" s="40">
        <v>0</v>
      </c>
      <c r="K44" s="40">
        <v>0</v>
      </c>
      <c r="L44" s="40">
        <v>0</v>
      </c>
      <c r="M44" s="40">
        <v>0</v>
      </c>
      <c r="N44" s="40"/>
      <c r="O44" s="40"/>
      <c r="P44" s="40"/>
      <c r="Q44" s="40" t="s">
        <v>335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 spans="1:29" x14ac:dyDescent="0.3">
      <c r="A45" s="40">
        <v>26001</v>
      </c>
      <c r="B45" s="41" t="s">
        <v>336</v>
      </c>
      <c r="C45" s="42" t="s">
        <v>337</v>
      </c>
      <c r="D45" s="40" t="s">
        <v>338</v>
      </c>
      <c r="E45" s="40" t="str">
        <f t="shared" ref="E45:E48" si="23">D45&amp;"_DESC"</f>
        <v>STR_TRAP_N_0001_DESC</v>
      </c>
      <c r="F45" s="40" t="s">
        <v>334</v>
      </c>
      <c r="G45" s="40">
        <v>300</v>
      </c>
      <c r="H45" s="40">
        <v>0</v>
      </c>
      <c r="I45" s="40">
        <v>1</v>
      </c>
      <c r="J45" s="40">
        <v>0</v>
      </c>
      <c r="K45" s="40">
        <v>2000</v>
      </c>
      <c r="L45" s="40">
        <v>0</v>
      </c>
      <c r="M45" s="40">
        <v>0</v>
      </c>
      <c r="N45" s="40"/>
      <c r="O45" s="40"/>
      <c r="P45" s="40"/>
      <c r="Q45" s="40" t="s">
        <v>342</v>
      </c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 spans="1:29" x14ac:dyDescent="0.3">
      <c r="A46" s="40">
        <v>26002</v>
      </c>
      <c r="B46" s="41" t="s">
        <v>339</v>
      </c>
      <c r="C46" s="42" t="s">
        <v>340</v>
      </c>
      <c r="D46" s="40" t="s">
        <v>341</v>
      </c>
      <c r="E46" s="40" t="str">
        <f t="shared" si="23"/>
        <v>STR_TRAP_N_0002_DESC</v>
      </c>
      <c r="F46" s="40" t="s">
        <v>334</v>
      </c>
      <c r="G46" s="40">
        <v>0</v>
      </c>
      <c r="H46" s="40">
        <v>0</v>
      </c>
      <c r="I46" s="40">
        <v>1</v>
      </c>
      <c r="J46" s="40">
        <v>0</v>
      </c>
      <c r="K46" s="40">
        <v>0</v>
      </c>
      <c r="L46" s="40">
        <v>0</v>
      </c>
      <c r="M46" s="40">
        <v>0</v>
      </c>
      <c r="N46" s="40"/>
      <c r="O46" s="40"/>
      <c r="P46" s="40"/>
      <c r="Q46" s="40" t="s">
        <v>343</v>
      </c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 spans="1:29" x14ac:dyDescent="0.3">
      <c r="A47" s="40">
        <v>26003</v>
      </c>
      <c r="B47" s="41" t="s">
        <v>350</v>
      </c>
      <c r="C47" s="42" t="s">
        <v>348</v>
      </c>
      <c r="D47" s="40" t="s">
        <v>349</v>
      </c>
      <c r="E47" s="40" t="str">
        <f t="shared" ref="E47" si="24">D47&amp;"_DESC"</f>
        <v>STR_TRAP_N_0003_DESC</v>
      </c>
      <c r="F47" s="40" t="s">
        <v>334</v>
      </c>
      <c r="G47" s="40">
        <v>0</v>
      </c>
      <c r="H47" s="40">
        <v>0</v>
      </c>
      <c r="I47" s="40">
        <v>1</v>
      </c>
      <c r="J47" s="40">
        <v>0</v>
      </c>
      <c r="K47" s="40">
        <v>0</v>
      </c>
      <c r="L47" s="40">
        <v>0</v>
      </c>
      <c r="M47" s="40">
        <v>0</v>
      </c>
      <c r="N47" s="40"/>
      <c r="O47" s="40"/>
      <c r="P47" s="40"/>
      <c r="Q47" s="40" t="s">
        <v>351</v>
      </c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 spans="1:29" x14ac:dyDescent="0.3">
      <c r="A48" s="33">
        <v>27000</v>
      </c>
      <c r="B48" s="34" t="s">
        <v>344</v>
      </c>
      <c r="C48" s="35" t="s">
        <v>345</v>
      </c>
      <c r="D48" s="33" t="s">
        <v>346</v>
      </c>
      <c r="E48" s="33" t="str">
        <f t="shared" si="23"/>
        <v>STR_DOOR_N_0001_DESC</v>
      </c>
      <c r="F48" s="33" t="s">
        <v>88</v>
      </c>
      <c r="G48" s="33">
        <v>0</v>
      </c>
      <c r="H48" s="33">
        <v>0</v>
      </c>
      <c r="I48" s="33">
        <v>1</v>
      </c>
      <c r="J48" s="33">
        <v>0</v>
      </c>
      <c r="K48" s="33">
        <v>0</v>
      </c>
      <c r="L48" s="33">
        <v>0</v>
      </c>
      <c r="M48" s="33">
        <v>0</v>
      </c>
      <c r="N48" s="33"/>
      <c r="O48" s="33"/>
      <c r="P48" s="33"/>
      <c r="Q48" s="36" t="s">
        <v>347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x14ac:dyDescent="0.3">
      <c r="A49" s="33"/>
      <c r="D49" s="33"/>
      <c r="E49" s="33"/>
      <c r="M49" s="33"/>
      <c r="N49" s="33"/>
      <c r="O49" s="33"/>
      <c r="P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x14ac:dyDescent="0.3">
      <c r="A50" s="33"/>
      <c r="B50" s="34"/>
      <c r="D50" s="33"/>
      <c r="E50" s="33"/>
      <c r="M50" s="33"/>
      <c r="N50" s="33"/>
      <c r="O50" s="33"/>
      <c r="P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</row>
    <row r="51" spans="1:29" x14ac:dyDescent="0.3">
      <c r="A51" s="33"/>
      <c r="D51" s="33"/>
      <c r="E51" s="33"/>
      <c r="M51" s="33"/>
      <c r="N51" s="33"/>
      <c r="O51" s="33"/>
      <c r="P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</row>
    <row r="52" spans="1:29" x14ac:dyDescent="0.3">
      <c r="A52" s="33"/>
      <c r="D52" s="33"/>
      <c r="E52" s="33"/>
      <c r="M52" s="33"/>
      <c r="N52" s="33"/>
      <c r="O52" s="33"/>
      <c r="P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</row>
    <row r="53" spans="1:29" x14ac:dyDescent="0.3">
      <c r="A53" s="33"/>
      <c r="D53" s="33"/>
      <c r="E53" s="33"/>
      <c r="M53" s="33"/>
      <c r="N53" s="33"/>
      <c r="O53" s="33"/>
      <c r="P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x14ac:dyDescent="0.3">
      <c r="A54" s="33"/>
      <c r="D54" s="33"/>
      <c r="E54" s="33"/>
      <c r="M54" s="33"/>
      <c r="N54" s="33"/>
      <c r="O54" s="33"/>
      <c r="P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2016-11-24T12:07:46Z</dcterms:modified>
</cp:coreProperties>
</file>