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5" yWindow="105" windowWidth="19215" windowHeight="12075" activeTab="2"/>
  </bookViews>
  <sheets>
    <sheet name="DOC History" sheetId="6" r:id="rId1"/>
    <sheet name="Definition" sheetId="7" r:id="rId2"/>
    <sheet name="Data" sheetId="8" r:id="rId3"/>
    <sheet name="Type" sheetId="9" r:id="rId4"/>
  </sheets>
  <definedNames>
    <definedName name="_xlnm._FilterDatabase" localSheetId="2">Data!$A$1:$U$2</definedName>
  </definedNames>
  <calcPr calcId="145621"/>
</workbook>
</file>

<file path=xl/calcChain.xml><?xml version="1.0" encoding="utf-8"?>
<calcChain xmlns="http://schemas.openxmlformats.org/spreadsheetml/2006/main">
  <c r="E45" i="8" l="1"/>
  <c r="E46" i="8"/>
  <c r="E44" i="8"/>
  <c r="E42" i="8"/>
  <c r="E43" i="8"/>
  <c r="D40" i="8"/>
  <c r="E40" i="8" s="1"/>
  <c r="D39" i="8"/>
  <c r="E39" i="8" s="1"/>
  <c r="E25" i="8" l="1"/>
  <c r="E26" i="8" l="1"/>
  <c r="E24" i="8"/>
  <c r="E23" i="8"/>
  <c r="E21" i="8" l="1"/>
  <c r="E22" i="8"/>
  <c r="D31" i="8" l="1"/>
  <c r="E31" i="8" s="1"/>
  <c r="D32" i="8"/>
  <c r="E32" i="8" s="1"/>
  <c r="D33" i="8"/>
  <c r="E33" i="8" s="1"/>
  <c r="D34" i="8"/>
  <c r="E34" i="8" s="1"/>
  <c r="D35" i="8"/>
  <c r="E35" i="8" s="1"/>
  <c r="D36" i="8"/>
  <c r="E36" i="8" s="1"/>
  <c r="D37" i="8"/>
  <c r="E37" i="8" s="1"/>
  <c r="D38" i="8"/>
  <c r="E38" i="8" s="1"/>
  <c r="D30" i="8"/>
  <c r="E30" i="8" s="1"/>
  <c r="E20" i="8" l="1"/>
  <c r="D29" i="8" l="1"/>
  <c r="E29" i="8" s="1"/>
  <c r="E19" i="8" l="1"/>
  <c r="E18" i="8" l="1"/>
  <c r="E41" i="8" l="1"/>
  <c r="E16" i="8" l="1"/>
  <c r="E17" i="8"/>
  <c r="E14" i="8"/>
  <c r="E15" i="8"/>
  <c r="E10" i="8"/>
  <c r="E11" i="8"/>
  <c r="E12" i="8"/>
  <c r="E13" i="8"/>
  <c r="D28" i="8" l="1"/>
  <c r="E28" i="8" s="1"/>
  <c r="D5" i="8"/>
  <c r="E5" i="8" s="1"/>
  <c r="D6" i="8"/>
  <c r="E6" i="8" s="1"/>
  <c r="D7" i="8"/>
  <c r="E7" i="8" s="1"/>
  <c r="D8" i="8"/>
  <c r="E8" i="8" s="1"/>
  <c r="D9" i="8"/>
  <c r="E9" i="8" s="1"/>
  <c r="D4" i="8"/>
  <c r="E4" i="8" s="1"/>
  <c r="D27" i="8" l="1"/>
  <c r="E27" i="8" s="1"/>
  <c r="D3" i="8" l="1"/>
  <c r="E3" i="8" s="1"/>
  <c r="D2" i="8"/>
  <c r="E2" i="8" s="1"/>
</calcChain>
</file>

<file path=xl/sharedStrings.xml><?xml version="1.0" encoding="utf-8"?>
<sst xmlns="http://schemas.openxmlformats.org/spreadsheetml/2006/main" count="477" uniqueCount="344">
  <si>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</si>
  <si>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</si>
  <si>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</si>
  <si>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</si>
  <si>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</si>
  <si>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</si>
  <si>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</si>
  <si>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</si>
  <si>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</si>
  <si>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</si>
  <si>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</si>
  <si>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</si>
  <si>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</si>
  <si>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</si>
  <si>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</si>
  <si>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</si>
  <si>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</si>
  <si>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</si>
  <si>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STR</t>
    <phoneticPr fontId="1" type="noConversion"/>
  </si>
  <si>
    <t>DESC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</si>
  <si>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</si>
  <si>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</si>
  <si>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</si>
  <si>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</si>
  <si>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</si>
  <si>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</si>
  <si>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</si>
  <si>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이름 문자열</t>
    <phoneticPr fontId="1" type="noConversion"/>
  </si>
  <si>
    <t>설명 문자열</t>
    <phoneticPr fontId="1" type="noConversion"/>
  </si>
  <si>
    <t>변동언</t>
    <phoneticPr fontId="1" type="noConversion"/>
  </si>
  <si>
    <t>데이터 이름. 키 값으로 사용하므로 중복되면 안됨</t>
    <phoneticPr fontId="1" type="noConversion"/>
  </si>
  <si>
    <t>UI를 통해서 유저에게 보여지는 이름 텍스트의 참조값, Table_String_Kor 테이블에서 참조</t>
    <phoneticPr fontId="1" type="noConversion"/>
  </si>
  <si>
    <t>UI를 통해서 유저에게 보여지는 설명 텍스트의 참조값, Table_String_Kor 테이블에서 참조</t>
    <phoneticPr fontId="1" type="noConversion"/>
  </si>
  <si>
    <t>Icon</t>
    <phoneticPr fontId="1" type="noConversion"/>
  </si>
  <si>
    <t>모델명</t>
    <phoneticPr fontId="1" type="noConversion"/>
  </si>
  <si>
    <t>Model</t>
  </si>
  <si>
    <t>Model</t>
    <phoneticPr fontId="1" type="noConversion"/>
  </si>
  <si>
    <t>Icon</t>
    <phoneticPr fontId="1" type="noConversion"/>
  </si>
  <si>
    <t>아이콘</t>
    <phoneticPr fontId="1" type="noConversion"/>
  </si>
  <si>
    <t>array</t>
    <phoneticPr fontId="1" type="noConversion"/>
  </si>
  <si>
    <t>드롭 배열 끝</t>
    <phoneticPr fontId="1" type="noConversion"/>
  </si>
  <si>
    <t>EndArray</t>
    <phoneticPr fontId="1" type="noConversion"/>
  </si>
  <si>
    <t>end</t>
  </si>
  <si>
    <t>NULL</t>
  </si>
  <si>
    <t>데이터의 고유한 키값 (ID대역: 20000~29999)</t>
    <phoneticPr fontId="1" type="noConversion"/>
  </si>
  <si>
    <t>여관 주인 이사벨</t>
    <phoneticPr fontId="1" type="noConversion"/>
  </si>
  <si>
    <t>숲속마을 촌장</t>
    <phoneticPr fontId="1" type="noConversion"/>
  </si>
  <si>
    <t>npc_n_0001</t>
    <phoneticPr fontId="1" type="noConversion"/>
  </si>
  <si>
    <t>npc_n_0002</t>
    <phoneticPr fontId="1" type="noConversion"/>
  </si>
  <si>
    <t>타입</t>
    <phoneticPr fontId="1" type="noConversion"/>
  </si>
  <si>
    <t>근접 공격력</t>
  </si>
  <si>
    <t>근접 공격력</t>
    <phoneticPr fontId="1" type="noConversion"/>
  </si>
  <si>
    <t>원거리 공격력</t>
  </si>
  <si>
    <t>원거리 공격력</t>
    <phoneticPr fontId="1" type="noConversion"/>
  </si>
  <si>
    <t>방어력</t>
  </si>
  <si>
    <t>방어력</t>
    <phoneticPr fontId="1" type="noConversion"/>
  </si>
  <si>
    <t>공격속도</t>
  </si>
  <si>
    <t>공격속도</t>
    <phoneticPr fontId="1" type="noConversion"/>
  </si>
  <si>
    <t>이동속도</t>
  </si>
  <si>
    <t>이동속도</t>
    <phoneticPr fontId="1" type="noConversion"/>
  </si>
  <si>
    <t>Hp</t>
  </si>
  <si>
    <t>Hp</t>
    <phoneticPr fontId="1" type="noConversion"/>
  </si>
  <si>
    <t>드롭 배열</t>
    <phoneticPr fontId="1" type="noConversion"/>
  </si>
  <si>
    <t>Drop_Array</t>
    <phoneticPr fontId="1" type="noConversion"/>
  </si>
  <si>
    <t>드롭 데이터</t>
    <phoneticPr fontId="1" type="noConversion"/>
  </si>
  <si>
    <t>Drop</t>
    <phoneticPr fontId="1" type="noConversion"/>
  </si>
  <si>
    <t>드롭 데이터 이름</t>
    <phoneticPr fontId="1" type="noConversion"/>
  </si>
  <si>
    <t>대사 배열</t>
    <phoneticPr fontId="1" type="noConversion"/>
  </si>
  <si>
    <t>대사 데이터</t>
    <phoneticPr fontId="1" type="noConversion"/>
  </si>
  <si>
    <t>대사 문자열 이름</t>
    <phoneticPr fontId="1" type="noConversion"/>
  </si>
  <si>
    <t>대사 배열 끝</t>
    <phoneticPr fontId="1" type="noConversion"/>
  </si>
  <si>
    <t>SATK</t>
  </si>
  <si>
    <t>SATK</t>
    <phoneticPr fontId="1" type="noConversion"/>
  </si>
  <si>
    <t>LATK</t>
  </si>
  <si>
    <t>LATK</t>
    <phoneticPr fontId="1" type="noConversion"/>
  </si>
  <si>
    <t>DEF</t>
  </si>
  <si>
    <t>DEF</t>
    <phoneticPr fontId="1" type="noConversion"/>
  </si>
  <si>
    <t>ASPD</t>
  </si>
  <si>
    <t>ASPD</t>
    <phoneticPr fontId="1" type="noConversion"/>
  </si>
  <si>
    <t>SPD</t>
  </si>
  <si>
    <t>SPD</t>
    <phoneticPr fontId="1" type="noConversion"/>
  </si>
  <si>
    <t>HP</t>
  </si>
  <si>
    <t>HP</t>
    <phoneticPr fontId="1" type="noConversion"/>
  </si>
  <si>
    <t>NPC 타입</t>
    <phoneticPr fontId="1" type="noConversion"/>
  </si>
  <si>
    <t>드롭 데이터</t>
    <phoneticPr fontId="1" type="noConversion"/>
  </si>
  <si>
    <t>대화 시 나올 문자열 데이터</t>
    <phoneticPr fontId="1" type="noConversion"/>
  </si>
  <si>
    <t>모델 이름</t>
    <phoneticPr fontId="1" type="noConversion"/>
  </si>
  <si>
    <t>아이콘 이름</t>
    <phoneticPr fontId="1" type="noConversion"/>
  </si>
  <si>
    <t>NPC</t>
  </si>
  <si>
    <t>NPC</t>
    <phoneticPr fontId="1" type="noConversion"/>
  </si>
  <si>
    <t>MONSTER</t>
    <phoneticPr fontId="1" type="noConversion"/>
  </si>
  <si>
    <t>OBJECT</t>
    <phoneticPr fontId="1" type="noConversion"/>
  </si>
  <si>
    <t>Drop_1</t>
  </si>
  <si>
    <t>Drop_2</t>
  </si>
  <si>
    <t>Drop_3</t>
  </si>
  <si>
    <t>STR_STORY_NPC_20000_01</t>
    <phoneticPr fontId="1" type="noConversion"/>
  </si>
  <si>
    <t>STR_STORY_NPC_20000_02</t>
  </si>
  <si>
    <t>STR_STORY_NPC_20001_01</t>
    <phoneticPr fontId="1" type="noConversion"/>
  </si>
  <si>
    <t>npc_0001</t>
    <phoneticPr fontId="1" type="noConversion"/>
  </si>
  <si>
    <t>npc_0002</t>
    <phoneticPr fontId="1" type="noConversion"/>
  </si>
  <si>
    <t>mob_n_0001</t>
    <phoneticPr fontId="1" type="noConversion"/>
  </si>
  <si>
    <t>MONSTER</t>
  </si>
  <si>
    <t>mob_0003</t>
    <phoneticPr fontId="1" type="noConversion"/>
  </si>
  <si>
    <t>Dialog_Array</t>
    <phoneticPr fontId="1" type="noConversion"/>
  </si>
  <si>
    <t>Dialog</t>
    <phoneticPr fontId="1" type="noConversion"/>
  </si>
  <si>
    <t>Dialog_1</t>
    <phoneticPr fontId="1" type="noConversion"/>
  </si>
  <si>
    <t>Dialog_2</t>
  </si>
  <si>
    <t>Dialog_3</t>
  </si>
  <si>
    <t>Dialog_4</t>
  </si>
  <si>
    <t>Dialog_5</t>
  </si>
  <si>
    <t>Dialog_6</t>
  </si>
  <si>
    <t>Dialog_7</t>
  </si>
  <si>
    <t>Dialog_8</t>
  </si>
  <si>
    <t>Dialog_9</t>
  </si>
  <si>
    <t>Dialog_10</t>
  </si>
  <si>
    <t>경비대장 레이든</t>
    <phoneticPr fontId="1" type="noConversion"/>
  </si>
  <si>
    <t>npc_n_0003</t>
    <phoneticPr fontId="1" type="noConversion"/>
  </si>
  <si>
    <t>npc_0007</t>
    <phoneticPr fontId="1" type="noConversion"/>
  </si>
  <si>
    <t>npc_n_0004</t>
  </si>
  <si>
    <t>npc_n_0005</t>
  </si>
  <si>
    <t>npc_n_0006</t>
  </si>
  <si>
    <t>npc_n_0007</t>
  </si>
  <si>
    <t>npc_n_0008</t>
  </si>
  <si>
    <t>npc_0006</t>
    <phoneticPr fontId="1" type="noConversion"/>
  </si>
  <si>
    <t>npc_0005</t>
    <phoneticPr fontId="1" type="noConversion"/>
  </si>
  <si>
    <t>npc_0003</t>
    <phoneticPr fontId="1" type="noConversion"/>
  </si>
  <si>
    <t>물약상인 엘레나 기본대사</t>
    <phoneticPr fontId="1" type="noConversion"/>
  </si>
  <si>
    <t>장비상인 스워드 기본대사</t>
    <phoneticPr fontId="1" type="noConversion"/>
  </si>
  <si>
    <t>대장장이 스미스 기본대사</t>
    <phoneticPr fontId="1" type="noConversion"/>
  </si>
  <si>
    <t>경비병 하워드 기본대사</t>
    <phoneticPr fontId="1" type="noConversion"/>
  </si>
  <si>
    <t>은둔기사 조셉 기본대사</t>
    <phoneticPr fontId="1" type="noConversion"/>
  </si>
  <si>
    <t>STR_STORY_NPC_20002_01</t>
    <phoneticPr fontId="1" type="noConversion"/>
  </si>
  <si>
    <t>STR_STORY_NPC_20003_01</t>
    <phoneticPr fontId="1" type="noConversion"/>
  </si>
  <si>
    <t>STR_STORY_NPC_20004_01</t>
    <phoneticPr fontId="1" type="noConversion"/>
  </si>
  <si>
    <t>STR_STORY_NPC_20005_01</t>
    <phoneticPr fontId="1" type="noConversion"/>
  </si>
  <si>
    <t>STR_STORY_NPC_20006_01</t>
    <phoneticPr fontId="1" type="noConversion"/>
  </si>
  <si>
    <t>STR_STORY_NPC_20007_01</t>
    <phoneticPr fontId="1" type="noConversion"/>
  </si>
  <si>
    <t>허수아비</t>
    <phoneticPr fontId="1" type="noConversion"/>
  </si>
  <si>
    <t>mob_n_0002</t>
    <phoneticPr fontId="1" type="noConversion"/>
  </si>
  <si>
    <t>mob_0004</t>
    <phoneticPr fontId="1" type="noConversion"/>
  </si>
  <si>
    <t>STR_NPC_N_0004</t>
  </si>
  <si>
    <t>STR_NPC_N_0005</t>
  </si>
  <si>
    <t>STR_NPC_N_0006</t>
  </si>
  <si>
    <t>STR_NPC_N_0007</t>
  </si>
  <si>
    <t>STR_NPC_N_0008</t>
  </si>
  <si>
    <t>물약상인 엘레나 아이템 사용법</t>
    <phoneticPr fontId="1" type="noConversion"/>
  </si>
  <si>
    <t>장비상인 스워드 아이템 장착 방법</t>
    <phoneticPr fontId="1" type="noConversion"/>
  </si>
  <si>
    <t>대장장이 스미스 아이템 강화 방법</t>
    <phoneticPr fontId="1" type="noConversion"/>
  </si>
  <si>
    <t>장비상인 스워드 가방 확장 방법</t>
    <phoneticPr fontId="1" type="noConversion"/>
  </si>
  <si>
    <t>은둔기사 조셉 캐릭터 소환 방법</t>
    <phoneticPr fontId="1" type="noConversion"/>
  </si>
  <si>
    <t>경비병 하워드 캐릭터 각성 방법</t>
    <phoneticPr fontId="1" type="noConversion"/>
  </si>
  <si>
    <t>경비병 하워드 캐릭터 환생 방법</t>
    <phoneticPr fontId="1" type="noConversion"/>
  </si>
  <si>
    <t>은둔기사 조셉 캐릭터 슬롯 확장 방법</t>
    <phoneticPr fontId="1" type="noConversion"/>
  </si>
  <si>
    <t>npc_n_0009</t>
  </si>
  <si>
    <t>npc_n_0010</t>
  </si>
  <si>
    <t>npc_n_0011</t>
  </si>
  <si>
    <t>npc_n_0012</t>
  </si>
  <si>
    <t>npc_n_0013</t>
  </si>
  <si>
    <t>npc_n_0014</t>
  </si>
  <si>
    <t>npc_n_0015</t>
  </si>
  <si>
    <t>npc_n_0016</t>
  </si>
  <si>
    <t>STR_STORY_NPC_20009_01</t>
  </si>
  <si>
    <t>STR_STORY_NPC_20009_02</t>
  </si>
  <si>
    <t>STR_STORY_NPC_20009_03</t>
  </si>
  <si>
    <t>STR_STORY_NPC_20009_04</t>
  </si>
  <si>
    <t>STR_STORY_NPC_20009_05</t>
  </si>
  <si>
    <t>STR_STORY_NPC_20010_01</t>
  </si>
  <si>
    <t>STR_STORY_NPC_20010_02</t>
  </si>
  <si>
    <t>STR_STORY_NPC_20010_03</t>
  </si>
  <si>
    <t>STR_STORY_NPC_20010_04</t>
  </si>
  <si>
    <t>STR_STORY_NPC_20010_05</t>
  </si>
  <si>
    <t>STR_STORY_NPC_20011_01</t>
    <phoneticPr fontId="1" type="noConversion"/>
  </si>
  <si>
    <t>STR_STORY_NPC_20011_02</t>
  </si>
  <si>
    <t>STR_STORY_NPC_20011_03</t>
  </si>
  <si>
    <t>STR_STORY_NPC_20011_04</t>
  </si>
  <si>
    <t>STR_STORY_NPC_20011_05</t>
  </si>
  <si>
    <t>STR_STORY_NPC_20012_01</t>
    <phoneticPr fontId="1" type="noConversion"/>
  </si>
  <si>
    <t>STR_STORY_NPC_20012_02</t>
  </si>
  <si>
    <t>STR_STORY_NPC_20012_03</t>
  </si>
  <si>
    <t>STR_STORY_NPC_20012_04</t>
  </si>
  <si>
    <t>STR_STORY_NPC_20012_05</t>
  </si>
  <si>
    <t>STR_STORY_NPC_20012_06</t>
  </si>
  <si>
    <t>STR_STORY_NPC_20013_01</t>
    <phoneticPr fontId="1" type="noConversion"/>
  </si>
  <si>
    <t>STR_STORY_NPC_20013_02</t>
  </si>
  <si>
    <t>STR_STORY_NPC_20013_03</t>
  </si>
  <si>
    <t>STR_STORY_NPC_20013_04</t>
  </si>
  <si>
    <t>STR_STORY_NPC_20013_05</t>
  </si>
  <si>
    <t>STR_STORY_NPC_20013_06</t>
  </si>
  <si>
    <t>STR_STORY_NPC_20013_07</t>
  </si>
  <si>
    <t>STR_STORY_NPC_20014_01</t>
  </si>
  <si>
    <t>STR_STORY_NPC_20014_02</t>
  </si>
  <si>
    <t>STR_STORY_NPC_20014_03</t>
  </si>
  <si>
    <t>STR_STORY_NPC_20014_04</t>
  </si>
  <si>
    <t>STR_STORY_NPC_20015_01</t>
    <phoneticPr fontId="1" type="noConversion"/>
  </si>
  <si>
    <t>STR_STORY_NPC_20015_02</t>
  </si>
  <si>
    <t>STR_STORY_NPC_20015_03</t>
  </si>
  <si>
    <t>STR_STORY_NPC_20015_04</t>
  </si>
  <si>
    <t>STR_STORY_NPC_20015_05</t>
  </si>
  <si>
    <t>STR_STORY_NPC_20016_01</t>
  </si>
  <si>
    <t>STR_STORY_NPC_20016_02</t>
  </si>
  <si>
    <t>STR_STORY_NPC_20016_03</t>
  </si>
  <si>
    <t>STR_STORY_NPC_20016_04</t>
  </si>
  <si>
    <t>STR_STORY_NPC_20016_05</t>
  </si>
  <si>
    <t>STR_STORY_NPC_20016_06</t>
  </si>
  <si>
    <t>box_n_0001</t>
    <phoneticPr fontId="1" type="noConversion"/>
  </si>
  <si>
    <t>drop_0007</t>
    <phoneticPr fontId="1" type="noConversion"/>
  </si>
  <si>
    <t>STR_STORY_NPC_20002_02</t>
  </si>
  <si>
    <t>STR_STORY_NPC_20002_03</t>
  </si>
  <si>
    <t>STR_STORY_NPC_20002_04</t>
  </si>
  <si>
    <t>STR_STORY_NPC_20002_05</t>
  </si>
  <si>
    <t>STR_STORY_NPC_20002_06</t>
  </si>
  <si>
    <t>숲속마을 촌장 감사인사</t>
    <phoneticPr fontId="1" type="noConversion"/>
  </si>
  <si>
    <t>npc_n_0017</t>
    <phoneticPr fontId="1" type="noConversion"/>
  </si>
  <si>
    <t>STR_STORY_NPC_20017_01</t>
    <phoneticPr fontId="1" type="noConversion"/>
  </si>
  <si>
    <t>STR_NPC_N_0002</t>
    <phoneticPr fontId="1" type="noConversion"/>
  </si>
  <si>
    <t>경비병 로빈</t>
    <phoneticPr fontId="1" type="noConversion"/>
  </si>
  <si>
    <t>npc_n_0018</t>
  </si>
  <si>
    <t>STR_NPC_N_0018</t>
    <phoneticPr fontId="1" type="noConversion"/>
  </si>
  <si>
    <t>STR_STORY_NPC_20018_01</t>
    <phoneticPr fontId="1" type="noConversion"/>
  </si>
  <si>
    <t>STR_STORY_NPC_20018_02</t>
  </si>
  <si>
    <t>STR_STORY_NPC_20018_03</t>
  </si>
  <si>
    <t>STR_STORY_NPC_20018_04</t>
  </si>
  <si>
    <t>STR_STORY_NPC_20018_05</t>
  </si>
  <si>
    <t>STR_BOX_N_0001</t>
    <phoneticPr fontId="1" type="noConversion"/>
  </si>
  <si>
    <t>drop_0021</t>
    <phoneticPr fontId="1" type="noConversion"/>
  </si>
  <si>
    <t>drop_0022</t>
    <phoneticPr fontId="1" type="noConversion"/>
  </si>
  <si>
    <t>mob_0005</t>
    <phoneticPr fontId="1" type="noConversion"/>
  </si>
  <si>
    <t>경비병 엘런</t>
    <phoneticPr fontId="1" type="noConversion"/>
  </si>
  <si>
    <t>npc_n_0019</t>
    <phoneticPr fontId="1" type="noConversion"/>
  </si>
  <si>
    <t>STR_NPC_N_0019</t>
    <phoneticPr fontId="1" type="noConversion"/>
  </si>
  <si>
    <t>STR_STORY_NPC_20019_01</t>
    <phoneticPr fontId="1" type="noConversion"/>
  </si>
  <si>
    <t>STR_STORY_NPC_20019_02</t>
  </si>
  <si>
    <t>STR_STORY_NPC_20019_03</t>
  </si>
  <si>
    <t>STR_STORY_NPC_20019_04</t>
  </si>
  <si>
    <t>mob_n_0004</t>
  </si>
  <si>
    <t>mob_n_0005</t>
  </si>
  <si>
    <t>mob_n_0006</t>
  </si>
  <si>
    <t>mob_n_0007</t>
  </si>
  <si>
    <t>mob_n_0008</t>
  </si>
  <si>
    <t>mob_n_0009</t>
  </si>
  <si>
    <t>mob_n_0010</t>
  </si>
  <si>
    <t>mob_n_0011</t>
  </si>
  <si>
    <t>mob_n_0012</t>
  </si>
  <si>
    <t>좀비</t>
    <phoneticPr fontId="1" type="noConversion"/>
  </si>
  <si>
    <t>mob_0001</t>
    <phoneticPr fontId="1" type="noConversion"/>
  </si>
  <si>
    <t>토끼</t>
    <phoneticPr fontId="1" type="noConversion"/>
  </si>
  <si>
    <t>mob_0002</t>
    <phoneticPr fontId="1" type="noConversion"/>
  </si>
  <si>
    <t>녹색 슬라임</t>
    <phoneticPr fontId="1" type="noConversion"/>
  </si>
  <si>
    <t>갈색 늑대</t>
    <phoneticPr fontId="1" type="noConversion"/>
  </si>
  <si>
    <t>파란색 슬라임</t>
    <phoneticPr fontId="1" type="noConversion"/>
  </si>
  <si>
    <t>회색 늑대</t>
    <phoneticPr fontId="1" type="noConversion"/>
  </si>
  <si>
    <t>mob_0006</t>
    <phoneticPr fontId="1" type="noConversion"/>
  </si>
  <si>
    <t>mob_0007</t>
  </si>
  <si>
    <t>mob_0008</t>
  </si>
  <si>
    <t>mob_0009</t>
  </si>
  <si>
    <t>mob_0010</t>
  </si>
  <si>
    <t>mob_0011</t>
  </si>
  <si>
    <t>mob_0012</t>
  </si>
  <si>
    <t>백색 늑대</t>
    <phoneticPr fontId="1" type="noConversion"/>
  </si>
  <si>
    <t>보라색 나비</t>
    <phoneticPr fontId="1" type="noConversion"/>
  </si>
  <si>
    <t>화룡</t>
    <phoneticPr fontId="1" type="noConversion"/>
  </si>
  <si>
    <t>서큐버스</t>
    <phoneticPr fontId="1" type="noConversion"/>
  </si>
  <si>
    <t>붉은 식인 식물</t>
    <phoneticPr fontId="1" type="noConversion"/>
  </si>
  <si>
    <t>공격 거리</t>
    <phoneticPr fontId="1" type="noConversion"/>
  </si>
  <si>
    <t>Range</t>
    <phoneticPr fontId="1" type="noConversion"/>
  </si>
  <si>
    <t>int</t>
    <phoneticPr fontId="1" type="noConversion"/>
  </si>
  <si>
    <t>Range</t>
    <phoneticPr fontId="1" type="noConversion"/>
  </si>
  <si>
    <t>경비병 로빈</t>
    <phoneticPr fontId="1" type="noConversion"/>
  </si>
  <si>
    <t>npc_n_0020</t>
  </si>
  <si>
    <t>npc_n_0021</t>
  </si>
  <si>
    <t>STR_STORY_NPC_20020_01</t>
    <phoneticPr fontId="1" type="noConversion"/>
  </si>
  <si>
    <t>STR_STORY_NPC_20021_01</t>
    <phoneticPr fontId="1" type="noConversion"/>
  </si>
  <si>
    <t>STR_STORY_NPC_20020_02</t>
  </si>
  <si>
    <t>STR_STORY_NPC_20020_03</t>
  </si>
  <si>
    <t>STR_STORY_NPC_20020_04</t>
  </si>
  <si>
    <t>STR_STORY_NPC_20021_02</t>
  </si>
  <si>
    <t>STR_STORY_NPC_20021_03</t>
  </si>
  <si>
    <t>STR_STORY_NPC_20021_04</t>
  </si>
  <si>
    <t>STR_STORY_NPC_20021_05</t>
  </si>
  <si>
    <t>STR_STORY_NPC_20021_06</t>
  </si>
  <si>
    <t>Bullet</t>
    <phoneticPr fontId="1" type="noConversion"/>
  </si>
  <si>
    <t>총알 모델명</t>
  </si>
  <si>
    <t>Bullet</t>
  </si>
  <si>
    <t>string</t>
  </si>
  <si>
    <t>총알 모델 이름</t>
  </si>
  <si>
    <t>pf_Bullet_01</t>
    <phoneticPr fontId="1" type="noConversion"/>
  </si>
  <si>
    <t>mob_n_0003</t>
    <phoneticPr fontId="1" type="noConversion"/>
  </si>
  <si>
    <t>개발자_50046</t>
    <phoneticPr fontId="1" type="noConversion"/>
  </si>
  <si>
    <t>개발자_50047</t>
    <phoneticPr fontId="1" type="noConversion"/>
  </si>
  <si>
    <t>npc_0010</t>
    <phoneticPr fontId="1" type="noConversion"/>
  </si>
  <si>
    <t>STR_NPC_N_0022</t>
    <phoneticPr fontId="1" type="noConversion"/>
  </si>
  <si>
    <t>npc_n_0022</t>
    <phoneticPr fontId="1" type="noConversion"/>
  </si>
  <si>
    <t>npc_n_0023</t>
  </si>
  <si>
    <t>npc_n_0024</t>
  </si>
  <si>
    <t>STR_STORY_NPC_20022_01</t>
    <phoneticPr fontId="1" type="noConversion"/>
  </si>
  <si>
    <t>STR_STORY_NPC_20023_01</t>
    <phoneticPr fontId="1" type="noConversion"/>
  </si>
  <si>
    <t>STR_STORY_NPC_20024_01</t>
    <phoneticPr fontId="1" type="noConversion"/>
  </si>
  <si>
    <t>개발자_50051</t>
    <phoneticPr fontId="1" type="noConversion"/>
  </si>
  <si>
    <t>개발자_50048</t>
    <phoneticPr fontId="1" type="noConversion"/>
  </si>
  <si>
    <t>npc_n_0025</t>
  </si>
  <si>
    <t>STR_STORY_NPC_20025_01</t>
    <phoneticPr fontId="1" type="noConversion"/>
  </si>
  <si>
    <t>STR_STORY_NPC_20022_02</t>
  </si>
  <si>
    <t>STR_STORY_NPC_20022_03</t>
  </si>
  <si>
    <t>STR_STORY_NPC_20022_04</t>
  </si>
  <si>
    <t>STR_STORY_NPC_20023_02</t>
  </si>
  <si>
    <t>STR_STORY_NPC_20023_03</t>
  </si>
  <si>
    <t>STR_STORY_NPC_20023_04</t>
  </si>
  <si>
    <t>STR_STORY_NPC_20023_05</t>
  </si>
  <si>
    <t>STR_STORY_NPC_20023_06</t>
  </si>
  <si>
    <t>STR_STORY_NPC_20023_07</t>
  </si>
  <si>
    <t>STR_STORY_NPC_20024_02</t>
  </si>
  <si>
    <t>STR_STORY_NPC_20024_03</t>
  </si>
  <si>
    <t>STR_STORY_NPC_20024_04</t>
  </si>
  <si>
    <t>STR_STORY_NPC_20025_02</t>
  </si>
  <si>
    <t>STR_STORY_NPC_20025_03</t>
  </si>
  <si>
    <t>STR_STORY_NPC_20025_04</t>
  </si>
  <si>
    <t>STR_STORY_NPC_20025_05</t>
  </si>
  <si>
    <t>박쥐</t>
    <phoneticPr fontId="1" type="noConversion"/>
  </si>
  <si>
    <t>mob_n_0013</t>
    <phoneticPr fontId="1" type="noConversion"/>
  </si>
  <si>
    <t>mob_0014</t>
    <phoneticPr fontId="1" type="noConversion"/>
  </si>
  <si>
    <t>구울</t>
    <phoneticPr fontId="1" type="noConversion"/>
  </si>
  <si>
    <t>mob_n_0014</t>
    <phoneticPr fontId="1" type="noConversion"/>
  </si>
  <si>
    <t>mob_0013</t>
    <phoneticPr fontId="1" type="noConversion"/>
  </si>
  <si>
    <t>보물상자 01</t>
    <phoneticPr fontId="1" type="noConversion"/>
  </si>
  <si>
    <t>보물상자 02</t>
  </si>
  <si>
    <t>box_n_0002</t>
  </si>
  <si>
    <t>STR_BOX_N_0002</t>
  </si>
  <si>
    <t>보물상자 03</t>
  </si>
  <si>
    <t>box_n_0003</t>
  </si>
  <si>
    <t>STR_BOX_N_0003</t>
  </si>
  <si>
    <t>chest_01</t>
    <phoneticPr fontId="1" type="noConversion"/>
  </si>
  <si>
    <t>chest_01</t>
    <phoneticPr fontId="1" type="noConversion"/>
  </si>
  <si>
    <t>데미지 상자 01</t>
    <phoneticPr fontId="1" type="noConversion"/>
  </si>
  <si>
    <t>damagn_box_n_0001</t>
    <phoneticPr fontId="1" type="noConversion"/>
  </si>
  <si>
    <t>OBJECT</t>
  </si>
  <si>
    <t>chest_02</t>
    <phoneticPr fontId="1" type="noConversion"/>
  </si>
  <si>
    <t>데미지 필드 01</t>
    <phoneticPr fontId="1" type="noConversion"/>
  </si>
  <si>
    <t>trap_n_0001</t>
    <phoneticPr fontId="1" type="noConversion"/>
  </si>
  <si>
    <t>STR_TRAP_N_0001</t>
    <phoneticPr fontId="1" type="noConversion"/>
  </si>
  <si>
    <t>데미지 필드 02</t>
  </si>
  <si>
    <t>trap_n_0002</t>
  </si>
  <si>
    <t>STR_TRAP_N_0002</t>
  </si>
  <si>
    <t>trap_03</t>
    <phoneticPr fontId="1" type="noConversion"/>
  </si>
  <si>
    <t>trap_01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</si>
</sst>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>
      <alignment vertical="center"/>
    </xf>
    <xf numFmtId="0" fontId="2" fillId="2" borderId="15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5" xfId="0" applyFont="1" applyFill="1" applyBorder="1">
      <alignment vertical="center"/>
    </xf>
    <xf numFmtId="0" fontId="5" fillId="0" borderId="24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24" xfId="0" applyFont="1" applyBorder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5" fillId="4" borderId="5" xfId="0" applyFont="1" applyFill="1" applyBorder="1">
      <alignment vertical="center"/>
    </xf>
    <xf numFmtId="0" fontId="5" fillId="4" borderId="24" xfId="0" applyFont="1" applyFill="1" applyBorder="1">
      <alignment vertical="center"/>
    </xf>
    <xf numFmtId="0" fontId="5" fillId="4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topLeftCell="B1"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42434</v>
      </c>
      <c r="C2" s="10" t="s">
        <v>29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>
        <v>2</v>
      </c>
      <c r="B3" s="8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>
        <v>3</v>
      </c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>
        <v>4</v>
      </c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>
        <v>5</v>
      </c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8"/>
      <c r="C7" s="10"/>
      <c r="D7" s="2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58"/>
  <sheetViews>
    <sheetView workbookViewId="0">
      <selection activeCell="D28" sqref="D28"/>
    </sheetView>
  </sheetViews>
  <sheetFormatPr defaultRowHeight="16.5" x14ac:dyDescent="0.3"/>
  <cols>
    <col min="1" max="1" width="4.75" style="24" customWidth="1"/>
    <col min="2" max="2" width="16" style="24" bestFit="1" customWidth="1"/>
    <col min="3" max="3" width="17.25" style="24" bestFit="1" customWidth="1"/>
    <col min="4" max="4" width="9" style="24"/>
    <col min="5" max="5" width="17.875" style="24" bestFit="1" customWidth="1"/>
    <col min="6" max="7" width="9" style="24"/>
    <col min="8" max="8" width="73.875" bestFit="1" customWidth="1"/>
  </cols>
  <sheetData>
    <row r="1" spans="1:16" x14ac:dyDescent="0.3">
      <c r="A1" s="17" t="s">
        <v>4</v>
      </c>
      <c r="B1" s="18" t="s">
        <v>10</v>
      </c>
      <c r="C1" s="18" t="s">
        <v>9</v>
      </c>
      <c r="D1" s="18" t="s">
        <v>5</v>
      </c>
      <c r="E1" s="18" t="s">
        <v>8</v>
      </c>
      <c r="F1" s="18" t="s">
        <v>6</v>
      </c>
      <c r="G1" s="18" t="s">
        <v>7</v>
      </c>
      <c r="H1" s="12" t="s">
        <v>11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19">
        <v>1</v>
      </c>
      <c r="B2" s="20" t="s">
        <v>25</v>
      </c>
      <c r="C2" s="20" t="s">
        <v>16</v>
      </c>
      <c r="D2" s="20" t="s">
        <v>13</v>
      </c>
      <c r="E2" s="20">
        <v>1</v>
      </c>
      <c r="F2" s="20">
        <v>1</v>
      </c>
      <c r="G2" s="20">
        <v>99999999</v>
      </c>
      <c r="H2" s="6" t="s">
        <v>44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19">
        <v>2</v>
      </c>
      <c r="B3" s="20" t="s">
        <v>21</v>
      </c>
      <c r="C3" s="20" t="s">
        <v>22</v>
      </c>
      <c r="D3" s="20" t="s">
        <v>23</v>
      </c>
      <c r="E3" s="20" t="s">
        <v>20</v>
      </c>
      <c r="F3" s="20">
        <v>0</v>
      </c>
      <c r="G3" s="20">
        <v>0</v>
      </c>
      <c r="H3" s="6" t="s">
        <v>24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s="19">
        <v>3</v>
      </c>
      <c r="B4" s="20" t="s">
        <v>26</v>
      </c>
      <c r="C4" s="20" t="s">
        <v>17</v>
      </c>
      <c r="D4" s="20" t="s">
        <v>14</v>
      </c>
      <c r="E4" s="20" t="s">
        <v>15</v>
      </c>
      <c r="F4" s="20">
        <v>0</v>
      </c>
      <c r="G4" s="20">
        <v>32</v>
      </c>
      <c r="H4" s="6" t="s">
        <v>30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 s="19">
        <v>4</v>
      </c>
      <c r="B5" s="20" t="s">
        <v>27</v>
      </c>
      <c r="C5" s="20" t="s">
        <v>18</v>
      </c>
      <c r="D5" s="20" t="s">
        <v>14</v>
      </c>
      <c r="E5" s="20" t="s">
        <v>15</v>
      </c>
      <c r="F5" s="20">
        <v>0</v>
      </c>
      <c r="G5" s="20">
        <v>32</v>
      </c>
      <c r="H5" s="6" t="s">
        <v>31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19">
        <v>5</v>
      </c>
      <c r="B6" s="20" t="s">
        <v>28</v>
      </c>
      <c r="C6" s="20" t="s">
        <v>19</v>
      </c>
      <c r="D6" s="20" t="s">
        <v>14</v>
      </c>
      <c r="E6" s="20" t="s">
        <v>15</v>
      </c>
      <c r="F6" s="20">
        <v>0</v>
      </c>
      <c r="G6" s="20">
        <v>32</v>
      </c>
      <c r="H6" s="6" t="s">
        <v>32</v>
      </c>
      <c r="I6" s="1"/>
      <c r="J6" s="1"/>
      <c r="K6" s="1"/>
      <c r="L6" s="1"/>
      <c r="M6" s="1"/>
      <c r="N6" s="1"/>
      <c r="O6" s="1"/>
      <c r="P6" s="1"/>
    </row>
    <row r="7" spans="1:16" x14ac:dyDescent="0.3">
      <c r="A7" s="19">
        <v>6</v>
      </c>
      <c r="B7" s="20" t="s">
        <v>49</v>
      </c>
      <c r="C7" s="20" t="s">
        <v>5</v>
      </c>
      <c r="D7" s="20" t="s">
        <v>14</v>
      </c>
      <c r="E7" s="20" t="s">
        <v>15</v>
      </c>
      <c r="F7" s="20">
        <v>0</v>
      </c>
      <c r="G7" s="20">
        <v>32</v>
      </c>
      <c r="H7" s="6" t="s">
        <v>83</v>
      </c>
      <c r="I7" s="1"/>
      <c r="J7" s="1"/>
      <c r="K7" s="1"/>
      <c r="L7" s="1"/>
      <c r="M7" s="1"/>
      <c r="N7" s="1"/>
      <c r="O7" s="1"/>
      <c r="P7" s="1"/>
    </row>
    <row r="8" spans="1:16" x14ac:dyDescent="0.3">
      <c r="A8" s="19">
        <v>7</v>
      </c>
      <c r="B8" s="25" t="s">
        <v>51</v>
      </c>
      <c r="C8" s="25" t="s">
        <v>72</v>
      </c>
      <c r="D8" s="20" t="s">
        <v>13</v>
      </c>
      <c r="E8" s="20">
        <v>0</v>
      </c>
      <c r="F8" s="20">
        <v>0</v>
      </c>
      <c r="G8" s="20">
        <v>100</v>
      </c>
      <c r="H8" s="27" t="s">
        <v>50</v>
      </c>
      <c r="I8" s="1"/>
      <c r="J8" s="1"/>
      <c r="K8" s="1"/>
      <c r="L8" s="1"/>
      <c r="M8" s="1"/>
      <c r="N8" s="1"/>
      <c r="O8" s="1"/>
      <c r="P8" s="1"/>
    </row>
    <row r="9" spans="1:16" x14ac:dyDescent="0.3">
      <c r="A9" s="19">
        <v>8</v>
      </c>
      <c r="B9" s="25" t="s">
        <v>53</v>
      </c>
      <c r="C9" s="25" t="s">
        <v>74</v>
      </c>
      <c r="D9" s="20" t="s">
        <v>13</v>
      </c>
      <c r="E9" s="20">
        <v>0</v>
      </c>
      <c r="F9" s="20">
        <v>0</v>
      </c>
      <c r="G9" s="20">
        <v>100</v>
      </c>
      <c r="H9" s="26" t="s">
        <v>52</v>
      </c>
      <c r="I9" s="1"/>
      <c r="J9" s="1"/>
      <c r="K9" s="1"/>
      <c r="L9" s="1"/>
      <c r="M9" s="1"/>
      <c r="N9" s="1"/>
      <c r="O9" s="1"/>
      <c r="P9" s="1"/>
    </row>
    <row r="10" spans="1:16" x14ac:dyDescent="0.3">
      <c r="A10" s="19">
        <v>9</v>
      </c>
      <c r="B10" s="25" t="s">
        <v>263</v>
      </c>
      <c r="C10" s="25" t="s">
        <v>264</v>
      </c>
      <c r="D10" s="20" t="s">
        <v>265</v>
      </c>
      <c r="E10" s="20">
        <v>0</v>
      </c>
      <c r="F10" s="20">
        <v>0</v>
      </c>
      <c r="G10" s="20">
        <v>100</v>
      </c>
      <c r="H10" s="26" t="s">
        <v>263</v>
      </c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9">
        <v>10</v>
      </c>
      <c r="B11" s="25" t="s">
        <v>55</v>
      </c>
      <c r="C11" s="25" t="s">
        <v>76</v>
      </c>
      <c r="D11" s="20" t="s">
        <v>13</v>
      </c>
      <c r="E11" s="20">
        <v>0</v>
      </c>
      <c r="F11" s="20">
        <v>0</v>
      </c>
      <c r="G11" s="20">
        <v>100</v>
      </c>
      <c r="H11" s="26" t="s">
        <v>54</v>
      </c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9">
        <v>11</v>
      </c>
      <c r="B12" s="25" t="s">
        <v>57</v>
      </c>
      <c r="C12" s="25" t="s">
        <v>78</v>
      </c>
      <c r="D12" s="20" t="s">
        <v>13</v>
      </c>
      <c r="E12" s="20">
        <v>0</v>
      </c>
      <c r="F12" s="20">
        <v>0</v>
      </c>
      <c r="G12" s="20">
        <v>100</v>
      </c>
      <c r="H12" s="26" t="s">
        <v>56</v>
      </c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9">
        <v>12</v>
      </c>
      <c r="B13" s="25" t="s">
        <v>59</v>
      </c>
      <c r="C13" s="25" t="s">
        <v>80</v>
      </c>
      <c r="D13" s="20" t="s">
        <v>13</v>
      </c>
      <c r="E13" s="20">
        <v>0</v>
      </c>
      <c r="F13" s="20">
        <v>0</v>
      </c>
      <c r="G13" s="20">
        <v>100</v>
      </c>
      <c r="H13" s="26" t="s">
        <v>58</v>
      </c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9">
        <v>13</v>
      </c>
      <c r="B14" s="25" t="s">
        <v>61</v>
      </c>
      <c r="C14" s="25" t="s">
        <v>82</v>
      </c>
      <c r="D14" s="20" t="s">
        <v>13</v>
      </c>
      <c r="E14" s="20">
        <v>0</v>
      </c>
      <c r="F14" s="20">
        <v>0</v>
      </c>
      <c r="G14" s="20">
        <v>100</v>
      </c>
      <c r="H14" s="27" t="s">
        <v>60</v>
      </c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9">
        <v>14</v>
      </c>
      <c r="B15" s="25" t="s">
        <v>62</v>
      </c>
      <c r="C15" s="25" t="s">
        <v>63</v>
      </c>
      <c r="D15" s="25" t="s">
        <v>39</v>
      </c>
      <c r="E15" s="25">
        <v>3</v>
      </c>
      <c r="F15" s="25">
        <v>1</v>
      </c>
      <c r="G15" s="20">
        <v>3</v>
      </c>
      <c r="H15" s="26" t="s">
        <v>84</v>
      </c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9">
        <v>15</v>
      </c>
      <c r="B16" s="25" t="s">
        <v>64</v>
      </c>
      <c r="C16" s="25" t="s">
        <v>65</v>
      </c>
      <c r="D16" s="25" t="s">
        <v>14</v>
      </c>
      <c r="E16" s="25" t="s">
        <v>15</v>
      </c>
      <c r="F16" s="25">
        <v>0</v>
      </c>
      <c r="G16" s="20">
        <v>32</v>
      </c>
      <c r="H16" s="26" t="s">
        <v>66</v>
      </c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9">
        <v>16</v>
      </c>
      <c r="B17" s="25" t="s">
        <v>40</v>
      </c>
      <c r="C17" s="25" t="s">
        <v>41</v>
      </c>
      <c r="D17" s="25" t="s">
        <v>42</v>
      </c>
      <c r="E17" s="25" t="s">
        <v>43</v>
      </c>
      <c r="F17" s="25">
        <v>0</v>
      </c>
      <c r="G17" s="20">
        <v>0</v>
      </c>
      <c r="H17" s="26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9">
        <v>17</v>
      </c>
      <c r="B18" s="25" t="s">
        <v>34</v>
      </c>
      <c r="C18" s="25" t="s">
        <v>36</v>
      </c>
      <c r="D18" s="20" t="s">
        <v>14</v>
      </c>
      <c r="E18" s="20" t="s">
        <v>15</v>
      </c>
      <c r="F18" s="20">
        <v>0</v>
      </c>
      <c r="G18" s="20">
        <v>32</v>
      </c>
      <c r="H18" s="26" t="s">
        <v>86</v>
      </c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9">
        <v>18</v>
      </c>
      <c r="B19" s="25" t="s">
        <v>38</v>
      </c>
      <c r="C19" s="25" t="s">
        <v>33</v>
      </c>
      <c r="D19" s="20" t="s">
        <v>14</v>
      </c>
      <c r="E19" s="20" t="s">
        <v>15</v>
      </c>
      <c r="F19" s="20">
        <v>0</v>
      </c>
      <c r="G19" s="20">
        <v>32</v>
      </c>
      <c r="H19" s="26" t="s">
        <v>87</v>
      </c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9">
        <v>19</v>
      </c>
      <c r="B20" s="25" t="s">
        <v>281</v>
      </c>
      <c r="C20" s="25" t="s">
        <v>282</v>
      </c>
      <c r="D20" s="25" t="s">
        <v>283</v>
      </c>
      <c r="E20" s="25" t="s">
        <v>43</v>
      </c>
      <c r="F20" s="25">
        <v>0</v>
      </c>
      <c r="G20" s="20">
        <v>32</v>
      </c>
      <c r="H20" s="26" t="s">
        <v>284</v>
      </c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9">
        <v>20</v>
      </c>
      <c r="B21" s="25" t="s">
        <v>67</v>
      </c>
      <c r="C21" s="25" t="s">
        <v>103</v>
      </c>
      <c r="D21" s="25" t="s">
        <v>39</v>
      </c>
      <c r="E21" s="25">
        <v>10</v>
      </c>
      <c r="F21" s="25">
        <v>1</v>
      </c>
      <c r="G21" s="20">
        <v>10</v>
      </c>
      <c r="H21" s="26" t="s">
        <v>85</v>
      </c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9">
        <v>21</v>
      </c>
      <c r="B22" s="25" t="s">
        <v>68</v>
      </c>
      <c r="C22" s="25" t="s">
        <v>104</v>
      </c>
      <c r="D22" s="25" t="s">
        <v>14</v>
      </c>
      <c r="E22" s="25" t="s">
        <v>15</v>
      </c>
      <c r="F22" s="25">
        <v>0</v>
      </c>
      <c r="G22" s="20">
        <v>32</v>
      </c>
      <c r="H22" s="26" t="s">
        <v>69</v>
      </c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9">
        <v>22</v>
      </c>
      <c r="B23" s="25" t="s">
        <v>70</v>
      </c>
      <c r="C23" s="25" t="s">
        <v>41</v>
      </c>
      <c r="D23" s="25" t="s">
        <v>42</v>
      </c>
      <c r="E23" s="25" t="s">
        <v>43</v>
      </c>
      <c r="F23" s="25">
        <v>0</v>
      </c>
      <c r="G23" s="20">
        <v>0</v>
      </c>
      <c r="H23" s="26"/>
      <c r="I23" s="1"/>
      <c r="J23" s="1"/>
      <c r="K23" s="1"/>
      <c r="L23" s="1"/>
      <c r="M23" s="1"/>
      <c r="N23" s="1"/>
      <c r="O23" s="1"/>
      <c r="P23" s="1"/>
    </row>
    <row r="24" spans="1:16" ht="17.25" thickBot="1" x14ac:dyDescent="0.35">
      <c r="A24" s="21"/>
      <c r="B24" s="22"/>
      <c r="C24" s="22"/>
      <c r="D24" s="22"/>
      <c r="E24" s="22"/>
      <c r="F24" s="22"/>
      <c r="G24" s="22"/>
      <c r="H24" s="7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23"/>
      <c r="B25" s="23"/>
      <c r="C25" s="23"/>
      <c r="D25" s="23"/>
      <c r="E25" s="23"/>
      <c r="F25" s="23"/>
      <c r="G25" s="23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23"/>
      <c r="B26" s="23"/>
      <c r="C26" s="23"/>
      <c r="D26" s="23"/>
      <c r="E26" s="23"/>
      <c r="F26" s="23"/>
      <c r="G26" s="23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23"/>
      <c r="B27" s="23"/>
      <c r="C27" s="23"/>
      <c r="D27" s="23"/>
      <c r="E27" s="23"/>
      <c r="F27" s="23"/>
      <c r="G27" s="23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23"/>
      <c r="B28" s="23"/>
      <c r="C28" s="23"/>
      <c r="D28" s="23"/>
      <c r="E28" s="23"/>
      <c r="F28" s="23"/>
      <c r="G28" s="23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23"/>
      <c r="B29" s="23"/>
      <c r="C29" s="23"/>
      <c r="D29" s="23"/>
      <c r="E29" s="23"/>
      <c r="F29" s="23"/>
      <c r="G29" s="23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23"/>
      <c r="B30" s="23"/>
      <c r="C30" s="23"/>
      <c r="D30" s="23"/>
      <c r="E30" s="23"/>
      <c r="F30" s="23"/>
      <c r="G30" s="23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23"/>
      <c r="B31" s="23"/>
      <c r="C31" s="23"/>
      <c r="D31" s="23"/>
      <c r="E31" s="23"/>
      <c r="F31" s="23"/>
      <c r="G31" s="23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23"/>
      <c r="B32" s="23"/>
      <c r="C32" s="23"/>
      <c r="D32" s="23"/>
      <c r="E32" s="23"/>
      <c r="F32" s="23"/>
      <c r="G32" s="23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23"/>
      <c r="B33" s="23"/>
      <c r="C33" s="23"/>
      <c r="D33" s="23"/>
      <c r="E33" s="23"/>
      <c r="F33" s="23"/>
      <c r="G33" s="23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23"/>
      <c r="B34" s="23"/>
      <c r="C34" s="23"/>
      <c r="D34" s="23"/>
      <c r="E34" s="23"/>
      <c r="F34" s="23"/>
      <c r="G34" s="23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23"/>
      <c r="B35" s="23"/>
      <c r="C35" s="23"/>
      <c r="D35" s="23"/>
      <c r="E35" s="23"/>
      <c r="F35" s="23"/>
      <c r="G35" s="23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23"/>
      <c r="B36" s="23"/>
      <c r="C36" s="23"/>
      <c r="D36" s="23"/>
      <c r="E36" s="23"/>
      <c r="F36" s="23"/>
      <c r="G36" s="23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23"/>
      <c r="B37" s="23"/>
      <c r="C37" s="23"/>
      <c r="D37" s="23"/>
      <c r="E37" s="23"/>
      <c r="F37" s="23"/>
      <c r="G37" s="23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3"/>
      <c r="B38" s="23"/>
      <c r="C38" s="23"/>
      <c r="D38" s="23"/>
      <c r="E38" s="23"/>
      <c r="F38" s="23"/>
      <c r="G38" s="23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23"/>
      <c r="B39" s="23"/>
      <c r="C39" s="23"/>
      <c r="D39" s="23"/>
      <c r="E39" s="23"/>
      <c r="F39" s="23"/>
      <c r="G39" s="23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23"/>
      <c r="B40" s="23"/>
      <c r="C40" s="23"/>
      <c r="D40" s="23"/>
      <c r="E40" s="23"/>
      <c r="F40" s="23"/>
      <c r="G40" s="23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23"/>
      <c r="B41" s="23"/>
      <c r="C41" s="23"/>
      <c r="D41" s="23"/>
      <c r="E41" s="23"/>
      <c r="F41" s="23"/>
      <c r="G41" s="23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23"/>
      <c r="B42" s="23"/>
      <c r="C42" s="23"/>
      <c r="D42" s="23"/>
      <c r="E42" s="23"/>
      <c r="F42" s="23"/>
      <c r="G42" s="23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23"/>
      <c r="B43" s="23"/>
      <c r="C43" s="23"/>
      <c r="D43" s="23"/>
      <c r="E43" s="23"/>
      <c r="F43" s="23"/>
      <c r="G43" s="23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23"/>
      <c r="B44" s="23"/>
      <c r="C44" s="23"/>
      <c r="D44" s="23"/>
      <c r="E44" s="23"/>
      <c r="F44" s="23"/>
      <c r="G44" s="23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23"/>
      <c r="B45" s="23"/>
      <c r="C45" s="23"/>
      <c r="D45" s="23"/>
      <c r="E45" s="23"/>
      <c r="F45" s="23"/>
      <c r="G45" s="23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3"/>
      <c r="B46" s="23"/>
      <c r="C46" s="23"/>
      <c r="D46" s="23"/>
      <c r="E46" s="23"/>
      <c r="F46" s="23"/>
      <c r="G46" s="23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23"/>
      <c r="B47" s="23"/>
      <c r="C47" s="23"/>
      <c r="D47" s="23"/>
      <c r="E47" s="23"/>
      <c r="F47" s="23"/>
      <c r="G47" s="23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23"/>
      <c r="B48" s="23"/>
      <c r="C48" s="23"/>
      <c r="D48" s="23"/>
      <c r="E48" s="23"/>
      <c r="F48" s="23"/>
      <c r="G48" s="23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23"/>
      <c r="B49" s="23"/>
      <c r="C49" s="23"/>
      <c r="D49" s="23"/>
      <c r="E49" s="23"/>
      <c r="F49" s="23"/>
      <c r="G49" s="23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23"/>
      <c r="B50" s="23"/>
      <c r="C50" s="23"/>
      <c r="D50" s="23"/>
      <c r="E50" s="23"/>
      <c r="F50" s="23"/>
      <c r="G50" s="23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23"/>
      <c r="B51" s="23"/>
      <c r="C51" s="23"/>
      <c r="D51" s="23"/>
      <c r="E51" s="23"/>
      <c r="F51" s="23"/>
      <c r="G51" s="23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23"/>
      <c r="B52" s="23"/>
      <c r="C52" s="23"/>
      <c r="D52" s="23"/>
      <c r="E52" s="23"/>
      <c r="F52" s="23"/>
      <c r="G52" s="23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23"/>
      <c r="B53" s="23"/>
      <c r="C53" s="23"/>
      <c r="D53" s="23"/>
      <c r="E53" s="23"/>
      <c r="F53" s="23"/>
      <c r="G53" s="23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23"/>
      <c r="B54" s="23"/>
      <c r="C54" s="23"/>
      <c r="D54" s="23"/>
      <c r="E54" s="23"/>
      <c r="F54" s="23"/>
      <c r="G54" s="23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23"/>
      <c r="B55" s="23"/>
      <c r="C55" s="23"/>
      <c r="D55" s="23"/>
      <c r="E55" s="23"/>
      <c r="F55" s="23"/>
      <c r="G55" s="23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23"/>
      <c r="B56" s="23"/>
      <c r="C56" s="23"/>
      <c r="D56" s="23"/>
      <c r="E56" s="23"/>
      <c r="F56" s="23"/>
      <c r="G56" s="23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23"/>
      <c r="B57" s="23"/>
      <c r="C57" s="23"/>
      <c r="D57" s="23"/>
      <c r="E57" s="23"/>
      <c r="F57" s="23"/>
      <c r="G57" s="23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23"/>
      <c r="B58" s="23"/>
      <c r="C58" s="23"/>
      <c r="D58" s="23"/>
      <c r="E58" s="23"/>
      <c r="F58" s="23"/>
      <c r="G58" s="23"/>
      <c r="H58" s="1"/>
      <c r="I58" s="1"/>
      <c r="J58" s="1"/>
      <c r="K58" s="1"/>
      <c r="L58" s="1"/>
      <c r="M58" s="1"/>
      <c r="N58" s="1"/>
      <c r="O58" s="1"/>
      <c r="P5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C53"/>
  <sheetViews>
    <sheetView tabSelected="1" topLeftCell="D1" workbookViewId="0">
      <pane ySplit="1" topLeftCell="A11" activePane="bottomLeft" state="frozen"/>
      <selection activeCell="E1" sqref="E1"/>
      <selection pane="bottomLeft" activeCell="K46" sqref="K46"/>
    </sheetView>
  </sheetViews>
  <sheetFormatPr defaultRowHeight="16.5" x14ac:dyDescent="0.3"/>
  <cols>
    <col min="1" max="1" width="6.5" style="36" bestFit="1" customWidth="1"/>
    <col min="2" max="2" width="25" style="36" customWidth="1"/>
    <col min="3" max="3" width="20.75" style="37" bestFit="1" customWidth="1"/>
    <col min="4" max="5" width="27.625" style="36" bestFit="1" customWidth="1"/>
    <col min="6" max="8" width="6.125" style="36" bestFit="1" customWidth="1"/>
    <col min="9" max="9" width="6.125" style="36" customWidth="1"/>
    <col min="10" max="10" width="6.125" style="36" bestFit="1" customWidth="1"/>
    <col min="11" max="11" width="7.5" style="36" bestFit="1" customWidth="1"/>
    <col min="12" max="12" width="8.375" style="36" bestFit="1" customWidth="1"/>
    <col min="13" max="13" width="13.25" style="36" bestFit="1" customWidth="1"/>
    <col min="14" max="16" width="12.25" style="36" customWidth="1"/>
    <col min="17" max="18" width="18.375" style="36" bestFit="1" customWidth="1"/>
    <col min="19" max="19" width="18.375" style="36" customWidth="1"/>
    <col min="20" max="29" width="12.25" style="36" customWidth="1"/>
    <col min="30" max="16384" width="9" style="32"/>
  </cols>
  <sheetData>
    <row r="1" spans="1:29" x14ac:dyDescent="0.3">
      <c r="A1" s="29" t="s">
        <v>16</v>
      </c>
      <c r="B1" s="29" t="s">
        <v>22</v>
      </c>
      <c r="C1" s="30" t="s">
        <v>9</v>
      </c>
      <c r="D1" s="29" t="s">
        <v>18</v>
      </c>
      <c r="E1" s="29" t="s">
        <v>19</v>
      </c>
      <c r="F1" s="31" t="s">
        <v>5</v>
      </c>
      <c r="G1" s="39" t="s">
        <v>71</v>
      </c>
      <c r="H1" s="39" t="s">
        <v>73</v>
      </c>
      <c r="I1" s="39" t="s">
        <v>266</v>
      </c>
      <c r="J1" s="39" t="s">
        <v>75</v>
      </c>
      <c r="K1" s="39" t="s">
        <v>77</v>
      </c>
      <c r="L1" s="39" t="s">
        <v>79</v>
      </c>
      <c r="M1" s="39" t="s">
        <v>81</v>
      </c>
      <c r="N1" s="38" t="s">
        <v>92</v>
      </c>
      <c r="O1" s="38" t="s">
        <v>93</v>
      </c>
      <c r="P1" s="38" t="s">
        <v>94</v>
      </c>
      <c r="Q1" s="38" t="s">
        <v>35</v>
      </c>
      <c r="R1" s="38" t="s">
        <v>37</v>
      </c>
      <c r="S1" s="38" t="s">
        <v>280</v>
      </c>
      <c r="T1" s="38" t="s">
        <v>105</v>
      </c>
      <c r="U1" s="38" t="s">
        <v>106</v>
      </c>
      <c r="V1" s="38" t="s">
        <v>107</v>
      </c>
      <c r="W1" s="38" t="s">
        <v>108</v>
      </c>
      <c r="X1" s="38" t="s">
        <v>109</v>
      </c>
      <c r="Y1" s="38" t="s">
        <v>110</v>
      </c>
      <c r="Z1" s="38" t="s">
        <v>111</v>
      </c>
      <c r="AA1" s="38" t="s">
        <v>112</v>
      </c>
      <c r="AB1" s="38" t="s">
        <v>113</v>
      </c>
      <c r="AC1" s="38" t="s">
        <v>114</v>
      </c>
    </row>
    <row r="2" spans="1:29" x14ac:dyDescent="0.3">
      <c r="A2" s="33">
        <v>20000</v>
      </c>
      <c r="B2" s="34" t="s">
        <v>45</v>
      </c>
      <c r="C2" s="35" t="s">
        <v>47</v>
      </c>
      <c r="D2" s="33" t="str">
        <f>"STR_"&amp;UPPER(C2)</f>
        <v>STR_NPC_N_0001</v>
      </c>
      <c r="E2" s="33" t="str">
        <f>D2&amp;"_DESC"</f>
        <v>STR_NPC_N_0001_DESC</v>
      </c>
      <c r="F2" s="33" t="s">
        <v>88</v>
      </c>
      <c r="G2" s="33">
        <v>0</v>
      </c>
      <c r="H2" s="33">
        <v>0</v>
      </c>
      <c r="I2" s="33">
        <v>1</v>
      </c>
      <c r="J2" s="33">
        <v>0</v>
      </c>
      <c r="K2" s="33">
        <v>0</v>
      </c>
      <c r="L2" s="33">
        <v>0</v>
      </c>
      <c r="M2" s="33">
        <v>0</v>
      </c>
      <c r="N2" s="33"/>
      <c r="O2" s="33"/>
      <c r="P2" s="33"/>
      <c r="Q2" s="36" t="s">
        <v>98</v>
      </c>
      <c r="T2" s="33" t="s">
        <v>95</v>
      </c>
      <c r="U2" s="33" t="s">
        <v>96</v>
      </c>
      <c r="V2" s="33"/>
      <c r="W2" s="33"/>
      <c r="X2" s="33"/>
      <c r="Y2" s="33"/>
      <c r="Z2" s="33"/>
      <c r="AA2" s="33"/>
      <c r="AB2" s="33"/>
      <c r="AC2" s="33"/>
    </row>
    <row r="3" spans="1:29" x14ac:dyDescent="0.3">
      <c r="A3" s="33">
        <v>20001</v>
      </c>
      <c r="B3" s="34" t="s">
        <v>46</v>
      </c>
      <c r="C3" s="35" t="s">
        <v>48</v>
      </c>
      <c r="D3" s="33" t="str">
        <f t="shared" ref="D3" si="0">"STR_"&amp;UPPER(C3)</f>
        <v>STR_NPC_N_0002</v>
      </c>
      <c r="E3" s="33" t="str">
        <f t="shared" ref="E3" si="1">D3&amp;"_DESC"</f>
        <v>STR_NPC_N_0002_DESC</v>
      </c>
      <c r="F3" s="33" t="s">
        <v>88</v>
      </c>
      <c r="G3" s="33">
        <v>0</v>
      </c>
      <c r="H3" s="33">
        <v>0</v>
      </c>
      <c r="I3" s="33">
        <v>1</v>
      </c>
      <c r="J3" s="33">
        <v>0</v>
      </c>
      <c r="K3" s="33">
        <v>0</v>
      </c>
      <c r="L3" s="33">
        <v>0</v>
      </c>
      <c r="M3" s="33">
        <v>0</v>
      </c>
      <c r="N3" s="33"/>
      <c r="O3" s="33"/>
      <c r="P3" s="33"/>
      <c r="Q3" s="36" t="s">
        <v>99</v>
      </c>
      <c r="T3" s="33" t="s">
        <v>97</v>
      </c>
      <c r="U3" s="33"/>
      <c r="V3" s="33"/>
      <c r="W3" s="33"/>
      <c r="X3" s="33"/>
      <c r="Y3" s="33"/>
      <c r="Z3" s="33"/>
      <c r="AA3" s="33"/>
      <c r="AB3" s="33"/>
      <c r="AC3" s="33"/>
    </row>
    <row r="4" spans="1:29" x14ac:dyDescent="0.3">
      <c r="A4" s="33">
        <v>20002</v>
      </c>
      <c r="B4" s="34" t="s">
        <v>115</v>
      </c>
      <c r="C4" s="35" t="s">
        <v>116</v>
      </c>
      <c r="D4" s="33" t="str">
        <f>"STR_"&amp;UPPER(C4)</f>
        <v>STR_NPC_N_0003</v>
      </c>
      <c r="E4" s="33" t="str">
        <f>D4&amp;"_DESC"</f>
        <v>STR_NPC_N_0003_DESC</v>
      </c>
      <c r="F4" s="33" t="s">
        <v>88</v>
      </c>
      <c r="G4" s="33">
        <v>0</v>
      </c>
      <c r="H4" s="33">
        <v>0</v>
      </c>
      <c r="I4" s="33">
        <v>1</v>
      </c>
      <c r="J4" s="33">
        <v>0</v>
      </c>
      <c r="K4" s="33">
        <v>0</v>
      </c>
      <c r="L4" s="33">
        <v>0</v>
      </c>
      <c r="M4" s="33">
        <v>0</v>
      </c>
      <c r="N4" s="33"/>
      <c r="O4" s="33"/>
      <c r="P4" s="33"/>
      <c r="Q4" s="36" t="s">
        <v>117</v>
      </c>
      <c r="T4" s="33" t="s">
        <v>131</v>
      </c>
      <c r="U4" s="33" t="s">
        <v>206</v>
      </c>
      <c r="V4" s="33" t="s">
        <v>207</v>
      </c>
      <c r="W4" s="33" t="s">
        <v>208</v>
      </c>
      <c r="X4" s="33" t="s">
        <v>209</v>
      </c>
      <c r="Y4" s="33" t="s">
        <v>210</v>
      </c>
      <c r="Z4" s="33"/>
      <c r="AA4" s="33"/>
      <c r="AB4" s="33"/>
      <c r="AC4" s="33"/>
    </row>
    <row r="5" spans="1:29" x14ac:dyDescent="0.3">
      <c r="A5" s="33">
        <v>20003</v>
      </c>
      <c r="B5" s="34" t="s">
        <v>126</v>
      </c>
      <c r="C5" s="35" t="s">
        <v>118</v>
      </c>
      <c r="D5" s="33" t="str">
        <f t="shared" ref="D5:D9" si="2">"STR_"&amp;UPPER(C5)</f>
        <v>STR_NPC_N_0004</v>
      </c>
      <c r="E5" s="33" t="str">
        <f t="shared" ref="E5:E9" si="3">D5&amp;"_DESC"</f>
        <v>STR_NPC_N_0004_DESC</v>
      </c>
      <c r="F5" s="33" t="s">
        <v>88</v>
      </c>
      <c r="G5" s="33">
        <v>0</v>
      </c>
      <c r="H5" s="33">
        <v>0</v>
      </c>
      <c r="I5" s="33">
        <v>1</v>
      </c>
      <c r="J5" s="33">
        <v>0</v>
      </c>
      <c r="K5" s="33">
        <v>0</v>
      </c>
      <c r="L5" s="33">
        <v>0</v>
      </c>
      <c r="M5" s="33">
        <v>0</v>
      </c>
      <c r="N5" s="33"/>
      <c r="O5" s="33"/>
      <c r="P5" s="33"/>
      <c r="Q5" s="36" t="s">
        <v>98</v>
      </c>
      <c r="T5" s="33" t="s">
        <v>132</v>
      </c>
      <c r="U5" s="33"/>
      <c r="V5" s="33"/>
      <c r="W5" s="33"/>
      <c r="X5" s="33"/>
      <c r="Y5" s="33"/>
      <c r="Z5" s="33"/>
      <c r="AA5" s="33"/>
      <c r="AB5" s="33"/>
      <c r="AC5" s="33"/>
    </row>
    <row r="6" spans="1:29" x14ac:dyDescent="0.3">
      <c r="A6" s="33">
        <v>20004</v>
      </c>
      <c r="B6" s="34" t="s">
        <v>127</v>
      </c>
      <c r="C6" s="35" t="s">
        <v>119</v>
      </c>
      <c r="D6" s="33" t="str">
        <f t="shared" si="2"/>
        <v>STR_NPC_N_0005</v>
      </c>
      <c r="E6" s="33" t="str">
        <f t="shared" si="3"/>
        <v>STR_NPC_N_0005_DESC</v>
      </c>
      <c r="F6" s="33" t="s">
        <v>88</v>
      </c>
      <c r="G6" s="33">
        <v>0</v>
      </c>
      <c r="H6" s="33">
        <v>0</v>
      </c>
      <c r="I6" s="33">
        <v>1</v>
      </c>
      <c r="J6" s="33">
        <v>0</v>
      </c>
      <c r="K6" s="33">
        <v>0</v>
      </c>
      <c r="L6" s="33">
        <v>0</v>
      </c>
      <c r="M6" s="33">
        <v>0</v>
      </c>
      <c r="N6" s="33"/>
      <c r="O6" s="33"/>
      <c r="P6" s="33"/>
      <c r="Q6" s="36" t="s">
        <v>123</v>
      </c>
      <c r="T6" s="33" t="s">
        <v>133</v>
      </c>
      <c r="U6" s="33"/>
      <c r="V6" s="33"/>
      <c r="W6" s="33"/>
      <c r="X6" s="33"/>
      <c r="Y6" s="33"/>
      <c r="Z6" s="33"/>
      <c r="AA6" s="33"/>
      <c r="AB6" s="33"/>
      <c r="AC6" s="33"/>
    </row>
    <row r="7" spans="1:29" x14ac:dyDescent="0.3">
      <c r="A7" s="33">
        <v>20005</v>
      </c>
      <c r="B7" s="34" t="s">
        <v>128</v>
      </c>
      <c r="C7" s="35" t="s">
        <v>120</v>
      </c>
      <c r="D7" s="33" t="str">
        <f t="shared" si="2"/>
        <v>STR_NPC_N_0006</v>
      </c>
      <c r="E7" s="33" t="str">
        <f t="shared" si="3"/>
        <v>STR_NPC_N_0006_DESC</v>
      </c>
      <c r="F7" s="33" t="s">
        <v>88</v>
      </c>
      <c r="G7" s="33">
        <v>0</v>
      </c>
      <c r="H7" s="33">
        <v>0</v>
      </c>
      <c r="I7" s="33">
        <v>1</v>
      </c>
      <c r="J7" s="33">
        <v>0</v>
      </c>
      <c r="K7" s="33">
        <v>0</v>
      </c>
      <c r="L7" s="33">
        <v>0</v>
      </c>
      <c r="M7" s="33">
        <v>0</v>
      </c>
      <c r="N7" s="33"/>
      <c r="O7" s="33"/>
      <c r="P7" s="33"/>
      <c r="Q7" s="36" t="s">
        <v>124</v>
      </c>
      <c r="T7" s="33" t="s">
        <v>134</v>
      </c>
      <c r="U7" s="33"/>
      <c r="V7" s="33"/>
      <c r="W7" s="33"/>
      <c r="X7" s="33"/>
      <c r="Y7" s="33"/>
      <c r="Z7" s="33"/>
      <c r="AA7" s="33"/>
      <c r="AB7" s="33"/>
      <c r="AC7" s="33"/>
    </row>
    <row r="8" spans="1:29" x14ac:dyDescent="0.3">
      <c r="A8" s="33">
        <v>20006</v>
      </c>
      <c r="B8" s="34" t="s">
        <v>129</v>
      </c>
      <c r="C8" s="35" t="s">
        <v>121</v>
      </c>
      <c r="D8" s="33" t="str">
        <f t="shared" si="2"/>
        <v>STR_NPC_N_0007</v>
      </c>
      <c r="E8" s="33" t="str">
        <f t="shared" si="3"/>
        <v>STR_NPC_N_0007_DESC</v>
      </c>
      <c r="F8" s="33" t="s">
        <v>88</v>
      </c>
      <c r="G8" s="33">
        <v>0</v>
      </c>
      <c r="H8" s="33">
        <v>0</v>
      </c>
      <c r="I8" s="33">
        <v>1</v>
      </c>
      <c r="J8" s="33">
        <v>0</v>
      </c>
      <c r="K8" s="33">
        <v>0</v>
      </c>
      <c r="L8" s="33">
        <v>0</v>
      </c>
      <c r="M8" s="33">
        <v>0</v>
      </c>
      <c r="N8" s="33"/>
      <c r="O8" s="33"/>
      <c r="P8" s="33"/>
      <c r="Q8" s="36" t="s">
        <v>125</v>
      </c>
      <c r="T8" s="33" t="s">
        <v>135</v>
      </c>
      <c r="U8" s="33"/>
      <c r="V8" s="33"/>
      <c r="W8" s="33"/>
      <c r="X8" s="33"/>
      <c r="Y8" s="33"/>
      <c r="Z8" s="33"/>
      <c r="AA8" s="33"/>
      <c r="AB8" s="33"/>
      <c r="AC8" s="33"/>
    </row>
    <row r="9" spans="1:29" x14ac:dyDescent="0.3">
      <c r="A9" s="33">
        <v>20007</v>
      </c>
      <c r="B9" s="34" t="s">
        <v>130</v>
      </c>
      <c r="C9" s="35" t="s">
        <v>122</v>
      </c>
      <c r="D9" s="33" t="str">
        <f t="shared" si="2"/>
        <v>STR_NPC_N_0008</v>
      </c>
      <c r="E9" s="33" t="str">
        <f t="shared" si="3"/>
        <v>STR_NPC_N_0008_DESC</v>
      </c>
      <c r="F9" s="33" t="s">
        <v>88</v>
      </c>
      <c r="G9" s="33">
        <v>0</v>
      </c>
      <c r="H9" s="33">
        <v>0</v>
      </c>
      <c r="I9" s="33">
        <v>1</v>
      </c>
      <c r="J9" s="33">
        <v>0</v>
      </c>
      <c r="K9" s="33">
        <v>0</v>
      </c>
      <c r="L9" s="33">
        <v>0</v>
      </c>
      <c r="M9" s="33">
        <v>0</v>
      </c>
      <c r="N9" s="33"/>
      <c r="O9" s="33"/>
      <c r="P9" s="33"/>
      <c r="Q9" s="36" t="s">
        <v>117</v>
      </c>
      <c r="T9" s="33" t="s">
        <v>136</v>
      </c>
      <c r="U9" s="33"/>
      <c r="V9" s="33"/>
      <c r="W9" s="33"/>
      <c r="X9" s="33"/>
      <c r="Y9" s="33"/>
      <c r="Z9" s="33"/>
      <c r="AA9" s="33"/>
      <c r="AB9" s="33"/>
      <c r="AC9" s="33"/>
    </row>
    <row r="10" spans="1:29" x14ac:dyDescent="0.3">
      <c r="A10" s="33">
        <v>20008</v>
      </c>
      <c r="B10" s="34" t="s">
        <v>145</v>
      </c>
      <c r="C10" s="35" t="s">
        <v>153</v>
      </c>
      <c r="D10" s="33" t="s">
        <v>140</v>
      </c>
      <c r="E10" s="33" t="str">
        <f t="shared" ref="E10:E15" si="4">D10&amp;"_DESC"</f>
        <v>STR_NPC_N_0004_DESC</v>
      </c>
      <c r="F10" s="33" t="s">
        <v>88</v>
      </c>
      <c r="G10" s="33">
        <v>0</v>
      </c>
      <c r="H10" s="33">
        <v>0</v>
      </c>
      <c r="I10" s="33">
        <v>1</v>
      </c>
      <c r="J10" s="33">
        <v>0</v>
      </c>
      <c r="K10" s="33">
        <v>0</v>
      </c>
      <c r="L10" s="33">
        <v>0</v>
      </c>
      <c r="M10" s="33">
        <v>0</v>
      </c>
      <c r="N10" s="33"/>
      <c r="O10" s="33"/>
      <c r="P10" s="33"/>
      <c r="Q10" s="36" t="s">
        <v>98</v>
      </c>
      <c r="T10" s="33" t="s">
        <v>161</v>
      </c>
      <c r="U10" s="33" t="s">
        <v>162</v>
      </c>
      <c r="V10" s="33" t="s">
        <v>163</v>
      </c>
      <c r="W10" s="33" t="s">
        <v>164</v>
      </c>
      <c r="X10" s="33" t="s">
        <v>165</v>
      </c>
      <c r="Y10" s="33"/>
      <c r="Z10" s="33"/>
      <c r="AA10" s="33"/>
      <c r="AB10" s="33"/>
      <c r="AC10" s="33"/>
    </row>
    <row r="11" spans="1:29" x14ac:dyDescent="0.3">
      <c r="A11" s="33">
        <v>20009</v>
      </c>
      <c r="B11" s="34" t="s">
        <v>146</v>
      </c>
      <c r="C11" s="35" t="s">
        <v>154</v>
      </c>
      <c r="D11" s="33" t="s">
        <v>141</v>
      </c>
      <c r="E11" s="33" t="str">
        <f t="shared" si="4"/>
        <v>STR_NPC_N_0005_DESC</v>
      </c>
      <c r="F11" s="33" t="s">
        <v>88</v>
      </c>
      <c r="G11" s="33">
        <v>0</v>
      </c>
      <c r="H11" s="33">
        <v>0</v>
      </c>
      <c r="I11" s="33">
        <v>1</v>
      </c>
      <c r="J11" s="33">
        <v>0</v>
      </c>
      <c r="K11" s="33">
        <v>0</v>
      </c>
      <c r="L11" s="33">
        <v>0</v>
      </c>
      <c r="M11" s="33">
        <v>0</v>
      </c>
      <c r="N11" s="33"/>
      <c r="O11" s="33"/>
      <c r="P11" s="33"/>
      <c r="Q11" s="36" t="s">
        <v>123</v>
      </c>
      <c r="T11" s="33" t="s">
        <v>166</v>
      </c>
      <c r="U11" s="33" t="s">
        <v>167</v>
      </c>
      <c r="V11" s="33" t="s">
        <v>168</v>
      </c>
      <c r="W11" s="33" t="s">
        <v>169</v>
      </c>
      <c r="X11" s="33" t="s">
        <v>170</v>
      </c>
      <c r="Y11" s="33"/>
      <c r="Z11" s="33"/>
      <c r="AA11" s="33"/>
      <c r="AB11" s="33"/>
      <c r="AC11" s="33"/>
    </row>
    <row r="12" spans="1:29" x14ac:dyDescent="0.3">
      <c r="A12" s="33">
        <v>20010</v>
      </c>
      <c r="B12" s="34" t="s">
        <v>147</v>
      </c>
      <c r="C12" s="35" t="s">
        <v>155</v>
      </c>
      <c r="D12" s="33" t="s">
        <v>142</v>
      </c>
      <c r="E12" s="33" t="str">
        <f t="shared" si="4"/>
        <v>STR_NPC_N_0006_DESC</v>
      </c>
      <c r="F12" s="33" t="s">
        <v>88</v>
      </c>
      <c r="G12" s="33">
        <v>0</v>
      </c>
      <c r="H12" s="33">
        <v>0</v>
      </c>
      <c r="I12" s="33">
        <v>1</v>
      </c>
      <c r="J12" s="33">
        <v>0</v>
      </c>
      <c r="K12" s="33">
        <v>0</v>
      </c>
      <c r="L12" s="33">
        <v>0</v>
      </c>
      <c r="M12" s="33">
        <v>0</v>
      </c>
      <c r="N12" s="33"/>
      <c r="O12" s="33"/>
      <c r="P12" s="33"/>
      <c r="Q12" s="36" t="s">
        <v>124</v>
      </c>
      <c r="T12" s="33" t="s">
        <v>171</v>
      </c>
      <c r="U12" s="33" t="s">
        <v>172</v>
      </c>
      <c r="V12" s="33" t="s">
        <v>173</v>
      </c>
      <c r="W12" s="33" t="s">
        <v>174</v>
      </c>
      <c r="X12" s="33" t="s">
        <v>175</v>
      </c>
      <c r="Y12" s="33"/>
      <c r="Z12" s="33"/>
      <c r="AA12" s="33"/>
      <c r="AB12" s="33"/>
      <c r="AC12" s="33"/>
    </row>
    <row r="13" spans="1:29" x14ac:dyDescent="0.3">
      <c r="A13" s="33">
        <v>20011</v>
      </c>
      <c r="B13" s="34" t="s">
        <v>148</v>
      </c>
      <c r="C13" s="35" t="s">
        <v>156</v>
      </c>
      <c r="D13" s="33" t="s">
        <v>141</v>
      </c>
      <c r="E13" s="33" t="str">
        <f t="shared" ref="E13" si="5">D13&amp;"_DESC"</f>
        <v>STR_NPC_N_0005_DESC</v>
      </c>
      <c r="F13" s="33" t="s">
        <v>88</v>
      </c>
      <c r="G13" s="33">
        <v>0</v>
      </c>
      <c r="H13" s="33">
        <v>0</v>
      </c>
      <c r="I13" s="33">
        <v>1</v>
      </c>
      <c r="J13" s="33">
        <v>0</v>
      </c>
      <c r="K13" s="33">
        <v>0</v>
      </c>
      <c r="L13" s="33">
        <v>0</v>
      </c>
      <c r="M13" s="33">
        <v>0</v>
      </c>
      <c r="N13" s="33"/>
      <c r="O13" s="33"/>
      <c r="P13" s="33"/>
      <c r="Q13" s="36" t="s">
        <v>123</v>
      </c>
      <c r="T13" s="33" t="s">
        <v>176</v>
      </c>
      <c r="U13" s="33" t="s">
        <v>177</v>
      </c>
      <c r="V13" s="33" t="s">
        <v>178</v>
      </c>
      <c r="W13" s="33" t="s">
        <v>179</v>
      </c>
      <c r="X13" s="33" t="s">
        <v>180</v>
      </c>
      <c r="Y13" s="33" t="s">
        <v>181</v>
      </c>
      <c r="Z13" s="33"/>
      <c r="AA13" s="33"/>
      <c r="AB13" s="33"/>
      <c r="AC13" s="33"/>
    </row>
    <row r="14" spans="1:29" x14ac:dyDescent="0.3">
      <c r="A14" s="33">
        <v>20012</v>
      </c>
      <c r="B14" s="34" t="s">
        <v>150</v>
      </c>
      <c r="C14" s="35" t="s">
        <v>157</v>
      </c>
      <c r="D14" s="33" t="s">
        <v>143</v>
      </c>
      <c r="E14" s="33" t="str">
        <f t="shared" si="4"/>
        <v>STR_NPC_N_0007_DESC</v>
      </c>
      <c r="F14" s="33" t="s">
        <v>88</v>
      </c>
      <c r="G14" s="33">
        <v>0</v>
      </c>
      <c r="H14" s="33">
        <v>0</v>
      </c>
      <c r="I14" s="33">
        <v>1</v>
      </c>
      <c r="J14" s="33">
        <v>0</v>
      </c>
      <c r="K14" s="33">
        <v>0</v>
      </c>
      <c r="L14" s="33">
        <v>0</v>
      </c>
      <c r="M14" s="33">
        <v>0</v>
      </c>
      <c r="N14" s="33"/>
      <c r="O14" s="33"/>
      <c r="P14" s="33"/>
      <c r="Q14" s="36" t="s">
        <v>125</v>
      </c>
      <c r="T14" s="33" t="s">
        <v>182</v>
      </c>
      <c r="U14" s="33" t="s">
        <v>183</v>
      </c>
      <c r="V14" s="33" t="s">
        <v>184</v>
      </c>
      <c r="W14" s="33" t="s">
        <v>185</v>
      </c>
      <c r="X14" s="33" t="s">
        <v>186</v>
      </c>
      <c r="Y14" s="33" t="s">
        <v>187</v>
      </c>
      <c r="Z14" s="33" t="s">
        <v>188</v>
      </c>
      <c r="AA14" s="33"/>
      <c r="AB14" s="33"/>
      <c r="AC14" s="33"/>
    </row>
    <row r="15" spans="1:29" x14ac:dyDescent="0.3">
      <c r="A15" s="33">
        <v>20013</v>
      </c>
      <c r="B15" s="34" t="s">
        <v>149</v>
      </c>
      <c r="C15" s="35" t="s">
        <v>158</v>
      </c>
      <c r="D15" s="33" t="s">
        <v>144</v>
      </c>
      <c r="E15" s="33" t="str">
        <f t="shared" si="4"/>
        <v>STR_NPC_N_0008_DESC</v>
      </c>
      <c r="F15" s="33" t="s">
        <v>88</v>
      </c>
      <c r="G15" s="33">
        <v>0</v>
      </c>
      <c r="H15" s="33">
        <v>0</v>
      </c>
      <c r="I15" s="33">
        <v>1</v>
      </c>
      <c r="J15" s="33">
        <v>0</v>
      </c>
      <c r="K15" s="33">
        <v>0</v>
      </c>
      <c r="L15" s="33">
        <v>0</v>
      </c>
      <c r="M15" s="33">
        <v>0</v>
      </c>
      <c r="N15" s="33"/>
      <c r="O15" s="33"/>
      <c r="P15" s="33"/>
      <c r="Q15" s="36" t="s">
        <v>117</v>
      </c>
      <c r="T15" s="33" t="s">
        <v>189</v>
      </c>
      <c r="U15" s="33" t="s">
        <v>190</v>
      </c>
      <c r="V15" s="33" t="s">
        <v>191</v>
      </c>
      <c r="W15" s="33" t="s">
        <v>192</v>
      </c>
      <c r="X15" s="33"/>
      <c r="Y15" s="33"/>
      <c r="Z15" s="33"/>
      <c r="AA15" s="33"/>
      <c r="AB15" s="33"/>
      <c r="AC15" s="33"/>
    </row>
    <row r="16" spans="1:29" x14ac:dyDescent="0.3">
      <c r="A16" s="33">
        <v>20014</v>
      </c>
      <c r="B16" s="34" t="s">
        <v>151</v>
      </c>
      <c r="C16" s="35" t="s">
        <v>159</v>
      </c>
      <c r="D16" s="33" t="s">
        <v>143</v>
      </c>
      <c r="E16" s="33" t="str">
        <f t="shared" ref="E16:E19" si="6">D16&amp;"_DESC"</f>
        <v>STR_NPC_N_0007_DESC</v>
      </c>
      <c r="F16" s="33" t="s">
        <v>88</v>
      </c>
      <c r="G16" s="33">
        <v>0</v>
      </c>
      <c r="H16" s="33">
        <v>0</v>
      </c>
      <c r="I16" s="33">
        <v>1</v>
      </c>
      <c r="J16" s="33">
        <v>0</v>
      </c>
      <c r="K16" s="33">
        <v>0</v>
      </c>
      <c r="L16" s="33">
        <v>0</v>
      </c>
      <c r="M16" s="33">
        <v>0</v>
      </c>
      <c r="N16" s="33"/>
      <c r="O16" s="33"/>
      <c r="P16" s="33"/>
      <c r="Q16" s="36" t="s">
        <v>125</v>
      </c>
      <c r="T16" s="33" t="s">
        <v>193</v>
      </c>
      <c r="U16" s="33" t="s">
        <v>194</v>
      </c>
      <c r="V16" s="33" t="s">
        <v>195</v>
      </c>
      <c r="W16" s="33" t="s">
        <v>196</v>
      </c>
      <c r="X16" s="33" t="s">
        <v>197</v>
      </c>
      <c r="Y16" s="33"/>
      <c r="Z16" s="33"/>
      <c r="AA16" s="33"/>
      <c r="AB16" s="33"/>
      <c r="AC16" s="33"/>
    </row>
    <row r="17" spans="1:29" x14ac:dyDescent="0.3">
      <c r="A17" s="33">
        <v>20015</v>
      </c>
      <c r="B17" s="34" t="s">
        <v>152</v>
      </c>
      <c r="C17" s="35" t="s">
        <v>160</v>
      </c>
      <c r="D17" s="33" t="s">
        <v>144</v>
      </c>
      <c r="E17" s="33" t="str">
        <f t="shared" si="6"/>
        <v>STR_NPC_N_0008_DESC</v>
      </c>
      <c r="F17" s="33" t="s">
        <v>88</v>
      </c>
      <c r="G17" s="33">
        <v>0</v>
      </c>
      <c r="H17" s="33">
        <v>0</v>
      </c>
      <c r="I17" s="33">
        <v>1</v>
      </c>
      <c r="J17" s="33">
        <v>0</v>
      </c>
      <c r="K17" s="33">
        <v>0</v>
      </c>
      <c r="L17" s="33">
        <v>0</v>
      </c>
      <c r="M17" s="33">
        <v>0</v>
      </c>
      <c r="N17" s="33"/>
      <c r="O17" s="33"/>
      <c r="P17" s="33"/>
      <c r="Q17" s="36" t="s">
        <v>117</v>
      </c>
      <c r="T17" s="33" t="s">
        <v>198</v>
      </c>
      <c r="U17" s="33" t="s">
        <v>199</v>
      </c>
      <c r="V17" s="33" t="s">
        <v>200</v>
      </c>
      <c r="W17" s="33" t="s">
        <v>201</v>
      </c>
      <c r="X17" s="33" t="s">
        <v>202</v>
      </c>
      <c r="Y17" s="33" t="s">
        <v>203</v>
      </c>
      <c r="Z17" s="33"/>
      <c r="AA17" s="33"/>
      <c r="AB17" s="33"/>
      <c r="AC17" s="33"/>
    </row>
    <row r="18" spans="1:29" x14ac:dyDescent="0.3">
      <c r="A18" s="33">
        <v>20016</v>
      </c>
      <c r="B18" s="34" t="s">
        <v>211</v>
      </c>
      <c r="C18" s="35" t="s">
        <v>212</v>
      </c>
      <c r="D18" s="33" t="s">
        <v>214</v>
      </c>
      <c r="E18" s="33" t="str">
        <f t="shared" si="6"/>
        <v>STR_NPC_N_0002_DESC</v>
      </c>
      <c r="F18" s="33" t="s">
        <v>88</v>
      </c>
      <c r="G18" s="33">
        <v>0</v>
      </c>
      <c r="H18" s="33">
        <v>0</v>
      </c>
      <c r="I18" s="33">
        <v>1</v>
      </c>
      <c r="J18" s="33">
        <v>0</v>
      </c>
      <c r="K18" s="33">
        <v>0</v>
      </c>
      <c r="L18" s="33">
        <v>0</v>
      </c>
      <c r="M18" s="33">
        <v>0</v>
      </c>
      <c r="N18" s="33"/>
      <c r="O18" s="33"/>
      <c r="P18" s="33"/>
      <c r="Q18" s="36" t="s">
        <v>99</v>
      </c>
      <c r="T18" s="33" t="s">
        <v>213</v>
      </c>
      <c r="U18" s="33"/>
      <c r="V18" s="33"/>
      <c r="W18" s="33"/>
      <c r="X18" s="33"/>
      <c r="Y18" s="33"/>
      <c r="Z18" s="33"/>
      <c r="AA18" s="33"/>
      <c r="AB18" s="33"/>
      <c r="AC18" s="33"/>
    </row>
    <row r="19" spans="1:29" x14ac:dyDescent="0.3">
      <c r="A19" s="33">
        <v>20017</v>
      </c>
      <c r="B19" s="34" t="s">
        <v>267</v>
      </c>
      <c r="C19" s="35" t="s">
        <v>216</v>
      </c>
      <c r="D19" s="33" t="s">
        <v>217</v>
      </c>
      <c r="E19" s="33" t="str">
        <f t="shared" si="6"/>
        <v>STR_NPC_N_0018_DESC</v>
      </c>
      <c r="F19" s="33" t="s">
        <v>88</v>
      </c>
      <c r="G19" s="33">
        <v>0</v>
      </c>
      <c r="H19" s="33">
        <v>0</v>
      </c>
      <c r="I19" s="33">
        <v>1</v>
      </c>
      <c r="J19" s="33">
        <v>0</v>
      </c>
      <c r="K19" s="33">
        <v>0</v>
      </c>
      <c r="L19" s="33">
        <v>0</v>
      </c>
      <c r="M19" s="33">
        <v>0</v>
      </c>
      <c r="N19" s="33"/>
      <c r="O19" s="33"/>
      <c r="P19" s="33"/>
      <c r="Q19" s="36" t="s">
        <v>125</v>
      </c>
      <c r="T19" s="33" t="s">
        <v>218</v>
      </c>
      <c r="U19" s="33" t="s">
        <v>219</v>
      </c>
      <c r="V19" s="33" t="s">
        <v>220</v>
      </c>
      <c r="W19" s="33" t="s">
        <v>221</v>
      </c>
      <c r="X19" s="33" t="s">
        <v>222</v>
      </c>
      <c r="Y19" s="33"/>
      <c r="Z19" s="33"/>
      <c r="AA19" s="33"/>
      <c r="AB19" s="33"/>
      <c r="AC19" s="33"/>
    </row>
    <row r="20" spans="1:29" x14ac:dyDescent="0.3">
      <c r="A20" s="33">
        <v>20018</v>
      </c>
      <c r="B20" s="34" t="s">
        <v>227</v>
      </c>
      <c r="C20" s="35" t="s">
        <v>228</v>
      </c>
      <c r="D20" s="33" t="s">
        <v>229</v>
      </c>
      <c r="E20" s="33" t="str">
        <f t="shared" ref="E20:E22" si="7">D20&amp;"_DESC"</f>
        <v>STR_NPC_N_0019_DESC</v>
      </c>
      <c r="F20" s="33" t="s">
        <v>88</v>
      </c>
      <c r="G20" s="33">
        <v>0</v>
      </c>
      <c r="H20" s="33">
        <v>0</v>
      </c>
      <c r="I20" s="33">
        <v>1</v>
      </c>
      <c r="J20" s="33">
        <v>0</v>
      </c>
      <c r="K20" s="33">
        <v>0</v>
      </c>
      <c r="L20" s="33">
        <v>0</v>
      </c>
      <c r="M20" s="33">
        <v>0</v>
      </c>
      <c r="N20" s="33"/>
      <c r="O20" s="33"/>
      <c r="P20" s="33"/>
      <c r="Q20" s="36" t="s">
        <v>125</v>
      </c>
      <c r="T20" s="33" t="s">
        <v>230</v>
      </c>
      <c r="U20" s="33" t="s">
        <v>231</v>
      </c>
      <c r="V20" s="33" t="s">
        <v>232</v>
      </c>
      <c r="W20" s="33" t="s">
        <v>233</v>
      </c>
      <c r="X20" s="33"/>
      <c r="Y20" s="33"/>
      <c r="Z20" s="33"/>
      <c r="AA20" s="33"/>
      <c r="AB20" s="33"/>
      <c r="AC20" s="33"/>
    </row>
    <row r="21" spans="1:29" x14ac:dyDescent="0.3">
      <c r="A21" s="33">
        <v>20019</v>
      </c>
      <c r="B21" s="34" t="s">
        <v>215</v>
      </c>
      <c r="C21" s="35" t="s">
        <v>268</v>
      </c>
      <c r="D21" s="33" t="s">
        <v>217</v>
      </c>
      <c r="E21" s="33" t="str">
        <f t="shared" ref="E21" si="8">D21&amp;"_DESC"</f>
        <v>STR_NPC_N_0018_DESC</v>
      </c>
      <c r="F21" s="33" t="s">
        <v>88</v>
      </c>
      <c r="G21" s="33">
        <v>0</v>
      </c>
      <c r="H21" s="33">
        <v>0</v>
      </c>
      <c r="I21" s="33">
        <v>1</v>
      </c>
      <c r="J21" s="33">
        <v>0</v>
      </c>
      <c r="K21" s="33">
        <v>0</v>
      </c>
      <c r="L21" s="33">
        <v>0</v>
      </c>
      <c r="M21" s="33">
        <v>0</v>
      </c>
      <c r="N21" s="33"/>
      <c r="O21" s="33"/>
      <c r="P21" s="33"/>
      <c r="Q21" s="36" t="s">
        <v>125</v>
      </c>
      <c r="T21" s="33" t="s">
        <v>270</v>
      </c>
      <c r="U21" s="33" t="s">
        <v>272</v>
      </c>
      <c r="V21" s="33" t="s">
        <v>273</v>
      </c>
      <c r="W21" s="33" t="s">
        <v>274</v>
      </c>
      <c r="X21" s="33"/>
      <c r="Y21" s="33"/>
      <c r="Z21" s="33"/>
      <c r="AA21" s="33"/>
      <c r="AB21" s="33"/>
      <c r="AC21" s="33"/>
    </row>
    <row r="22" spans="1:29" x14ac:dyDescent="0.3">
      <c r="A22" s="33">
        <v>20020</v>
      </c>
      <c r="B22" s="34" t="s">
        <v>215</v>
      </c>
      <c r="C22" s="35" t="s">
        <v>269</v>
      </c>
      <c r="D22" s="33" t="s">
        <v>217</v>
      </c>
      <c r="E22" s="33" t="str">
        <f t="shared" si="7"/>
        <v>STR_NPC_N_0018_DESC</v>
      </c>
      <c r="F22" s="33" t="s">
        <v>88</v>
      </c>
      <c r="G22" s="33">
        <v>0</v>
      </c>
      <c r="H22" s="33">
        <v>0</v>
      </c>
      <c r="I22" s="33">
        <v>1</v>
      </c>
      <c r="J22" s="33">
        <v>0</v>
      </c>
      <c r="K22" s="33">
        <v>0</v>
      </c>
      <c r="L22" s="33">
        <v>0</v>
      </c>
      <c r="M22" s="33">
        <v>0</v>
      </c>
      <c r="N22" s="33"/>
      <c r="O22" s="33"/>
      <c r="P22" s="33"/>
      <c r="Q22" s="36" t="s">
        <v>125</v>
      </c>
      <c r="T22" s="33" t="s">
        <v>271</v>
      </c>
      <c r="U22" s="33" t="s">
        <v>275</v>
      </c>
      <c r="V22" s="33" t="s">
        <v>276</v>
      </c>
      <c r="W22" s="33" t="s">
        <v>277</v>
      </c>
      <c r="X22" s="33" t="s">
        <v>278</v>
      </c>
      <c r="Y22" s="33" t="s">
        <v>279</v>
      </c>
      <c r="Z22" s="33"/>
      <c r="AA22" s="33"/>
      <c r="AB22" s="33"/>
      <c r="AC22" s="33"/>
    </row>
    <row r="23" spans="1:29" x14ac:dyDescent="0.3">
      <c r="A23" s="33">
        <v>20021</v>
      </c>
      <c r="B23" s="34" t="s">
        <v>287</v>
      </c>
      <c r="C23" s="35" t="s">
        <v>291</v>
      </c>
      <c r="D23" s="33" t="s">
        <v>290</v>
      </c>
      <c r="E23" s="33" t="str">
        <f t="shared" ref="E23:E24" si="9">D23&amp;"_DESC"</f>
        <v>STR_NPC_N_0022_DESC</v>
      </c>
      <c r="F23" s="33" t="s">
        <v>88</v>
      </c>
      <c r="G23" s="33">
        <v>0</v>
      </c>
      <c r="H23" s="33">
        <v>0</v>
      </c>
      <c r="I23" s="33">
        <v>1</v>
      </c>
      <c r="J23" s="33">
        <v>0</v>
      </c>
      <c r="K23" s="33">
        <v>0</v>
      </c>
      <c r="L23" s="33">
        <v>0</v>
      </c>
      <c r="M23" s="33">
        <v>0</v>
      </c>
      <c r="N23" s="33"/>
      <c r="O23" s="33"/>
      <c r="P23" s="33"/>
      <c r="Q23" s="36" t="s">
        <v>289</v>
      </c>
      <c r="T23" s="33" t="s">
        <v>294</v>
      </c>
      <c r="U23" s="33" t="s">
        <v>301</v>
      </c>
      <c r="V23" s="33" t="s">
        <v>302</v>
      </c>
      <c r="W23" s="33" t="s">
        <v>303</v>
      </c>
      <c r="X23" s="33"/>
      <c r="Y23" s="33"/>
      <c r="Z23" s="33"/>
      <c r="AA23" s="33"/>
      <c r="AB23" s="33"/>
      <c r="AC23" s="33"/>
    </row>
    <row r="24" spans="1:29" x14ac:dyDescent="0.3">
      <c r="A24" s="33">
        <v>20022</v>
      </c>
      <c r="B24" s="34" t="s">
        <v>288</v>
      </c>
      <c r="C24" s="35" t="s">
        <v>292</v>
      </c>
      <c r="D24" s="33" t="s">
        <v>290</v>
      </c>
      <c r="E24" s="33" t="str">
        <f t="shared" si="9"/>
        <v>STR_NPC_N_0022_DESC</v>
      </c>
      <c r="F24" s="33" t="s">
        <v>88</v>
      </c>
      <c r="G24" s="33">
        <v>0</v>
      </c>
      <c r="H24" s="33">
        <v>0</v>
      </c>
      <c r="I24" s="33">
        <v>1</v>
      </c>
      <c r="J24" s="33">
        <v>0</v>
      </c>
      <c r="K24" s="33">
        <v>0</v>
      </c>
      <c r="L24" s="33">
        <v>0</v>
      </c>
      <c r="M24" s="33">
        <v>0</v>
      </c>
      <c r="N24" s="33"/>
      <c r="O24" s="33"/>
      <c r="P24" s="33"/>
      <c r="Q24" s="36" t="s">
        <v>289</v>
      </c>
      <c r="T24" s="33" t="s">
        <v>295</v>
      </c>
      <c r="U24" s="33" t="s">
        <v>304</v>
      </c>
      <c r="V24" s="33" t="s">
        <v>305</v>
      </c>
      <c r="W24" s="33" t="s">
        <v>306</v>
      </c>
      <c r="X24" s="33" t="s">
        <v>307</v>
      </c>
      <c r="Y24" s="33" t="s">
        <v>308</v>
      </c>
      <c r="Z24" s="33" t="s">
        <v>309</v>
      </c>
      <c r="AA24" s="33"/>
      <c r="AB24" s="33"/>
      <c r="AC24" s="33"/>
    </row>
    <row r="25" spans="1:29" x14ac:dyDescent="0.3">
      <c r="A25" s="33">
        <v>20023</v>
      </c>
      <c r="B25" s="34" t="s">
        <v>298</v>
      </c>
      <c r="C25" s="35" t="s">
        <v>293</v>
      </c>
      <c r="D25" s="33" t="s">
        <v>290</v>
      </c>
      <c r="E25" s="33" t="str">
        <f t="shared" ref="E25" si="10">D25&amp;"_DESC"</f>
        <v>STR_NPC_N_0022_DESC</v>
      </c>
      <c r="F25" s="33" t="s">
        <v>88</v>
      </c>
      <c r="G25" s="33">
        <v>0</v>
      </c>
      <c r="H25" s="33">
        <v>0</v>
      </c>
      <c r="I25" s="33">
        <v>1</v>
      </c>
      <c r="J25" s="33">
        <v>0</v>
      </c>
      <c r="K25" s="33">
        <v>0</v>
      </c>
      <c r="L25" s="33">
        <v>0</v>
      </c>
      <c r="M25" s="33">
        <v>0</v>
      </c>
      <c r="N25" s="33"/>
      <c r="O25" s="33"/>
      <c r="P25" s="33"/>
      <c r="Q25" s="36" t="s">
        <v>289</v>
      </c>
      <c r="T25" s="33" t="s">
        <v>296</v>
      </c>
      <c r="U25" s="33" t="s">
        <v>310</v>
      </c>
      <c r="V25" s="33" t="s">
        <v>311</v>
      </c>
      <c r="W25" s="33" t="s">
        <v>312</v>
      </c>
      <c r="X25" s="33"/>
      <c r="Y25" s="33"/>
      <c r="Z25" s="33"/>
      <c r="AA25" s="33"/>
      <c r="AB25" s="33"/>
      <c r="AC25" s="33"/>
    </row>
    <row r="26" spans="1:29" x14ac:dyDescent="0.3">
      <c r="A26" s="33">
        <v>20024</v>
      </c>
      <c r="B26" s="34" t="s">
        <v>297</v>
      </c>
      <c r="C26" s="35" t="s">
        <v>299</v>
      </c>
      <c r="D26" s="33" t="s">
        <v>290</v>
      </c>
      <c r="E26" s="33" t="str">
        <f t="shared" ref="E26" si="11">D26&amp;"_DESC"</f>
        <v>STR_NPC_N_0022_DESC</v>
      </c>
      <c r="F26" s="33" t="s">
        <v>88</v>
      </c>
      <c r="G26" s="33">
        <v>0</v>
      </c>
      <c r="H26" s="33">
        <v>0</v>
      </c>
      <c r="I26" s="33">
        <v>1</v>
      </c>
      <c r="J26" s="33">
        <v>0</v>
      </c>
      <c r="K26" s="33">
        <v>0</v>
      </c>
      <c r="L26" s="33">
        <v>0</v>
      </c>
      <c r="M26" s="33">
        <v>0</v>
      </c>
      <c r="N26" s="33"/>
      <c r="O26" s="33"/>
      <c r="P26" s="33"/>
      <c r="Q26" s="36" t="s">
        <v>289</v>
      </c>
      <c r="T26" s="33" t="s">
        <v>300</v>
      </c>
      <c r="U26" s="33" t="s">
        <v>313</v>
      </c>
      <c r="V26" s="33" t="s">
        <v>314</v>
      </c>
      <c r="W26" s="33" t="s">
        <v>315</v>
      </c>
      <c r="X26" s="33" t="s">
        <v>316</v>
      </c>
      <c r="Y26" s="33"/>
      <c r="Z26" s="33"/>
      <c r="AA26" s="33"/>
      <c r="AB26" s="33"/>
      <c r="AC26" s="33"/>
    </row>
    <row r="27" spans="1:29" x14ac:dyDescent="0.3">
      <c r="A27" s="40">
        <v>22000</v>
      </c>
      <c r="B27" s="41" t="s">
        <v>247</v>
      </c>
      <c r="C27" s="42" t="s">
        <v>100</v>
      </c>
      <c r="D27" s="40" t="str">
        <f t="shared" ref="D27:D28" si="12">"STR_"&amp;UPPER(C27)</f>
        <v>STR_MOB_N_0001</v>
      </c>
      <c r="E27" s="40" t="str">
        <f t="shared" ref="E27:E41" si="13">D27&amp;"_DESC"</f>
        <v>STR_MOB_N_0001_DESC</v>
      </c>
      <c r="F27" s="40" t="s">
        <v>101</v>
      </c>
      <c r="G27" s="40">
        <v>10</v>
      </c>
      <c r="H27" s="40">
        <v>1</v>
      </c>
      <c r="I27" s="40">
        <v>1</v>
      </c>
      <c r="J27" s="40">
        <v>0</v>
      </c>
      <c r="K27" s="40">
        <v>1200</v>
      </c>
      <c r="L27" s="40">
        <v>30</v>
      </c>
      <c r="M27" s="40">
        <v>20</v>
      </c>
      <c r="N27" s="40" t="s">
        <v>225</v>
      </c>
      <c r="O27" s="40"/>
      <c r="P27" s="40"/>
      <c r="Q27" s="40" t="s">
        <v>226</v>
      </c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</row>
    <row r="28" spans="1:29" x14ac:dyDescent="0.3">
      <c r="A28" s="40">
        <v>22001</v>
      </c>
      <c r="B28" s="40" t="s">
        <v>137</v>
      </c>
      <c r="C28" s="41" t="s">
        <v>138</v>
      </c>
      <c r="D28" s="40" t="str">
        <f t="shared" si="12"/>
        <v>STR_MOB_N_0002</v>
      </c>
      <c r="E28" s="40" t="str">
        <f t="shared" si="13"/>
        <v>STR_MOB_N_0002_DESC</v>
      </c>
      <c r="F28" s="40" t="s">
        <v>101</v>
      </c>
      <c r="G28" s="40">
        <v>1</v>
      </c>
      <c r="H28" s="40">
        <v>1</v>
      </c>
      <c r="I28" s="40">
        <v>1</v>
      </c>
      <c r="J28" s="40">
        <v>0</v>
      </c>
      <c r="K28" s="40">
        <v>2400</v>
      </c>
      <c r="L28" s="40">
        <v>0</v>
      </c>
      <c r="M28" s="40">
        <v>10</v>
      </c>
      <c r="N28" s="40"/>
      <c r="O28" s="40"/>
      <c r="P28" s="40"/>
      <c r="Q28" s="40" t="s">
        <v>139</v>
      </c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</row>
    <row r="29" spans="1:29" x14ac:dyDescent="0.3">
      <c r="A29" s="40">
        <v>22002</v>
      </c>
      <c r="B29" s="41" t="s">
        <v>249</v>
      </c>
      <c r="C29" s="42" t="s">
        <v>286</v>
      </c>
      <c r="D29" s="40" t="str">
        <f t="shared" ref="D29" si="14">"STR_"&amp;UPPER(C29)</f>
        <v>STR_MOB_N_0003</v>
      </c>
      <c r="E29" s="40" t="str">
        <f t="shared" ref="E29" si="15">D29&amp;"_DESC"</f>
        <v>STR_MOB_N_0003_DESC</v>
      </c>
      <c r="F29" s="40" t="s">
        <v>101</v>
      </c>
      <c r="G29" s="40">
        <v>60</v>
      </c>
      <c r="H29" s="40">
        <v>1</v>
      </c>
      <c r="I29" s="40">
        <v>1</v>
      </c>
      <c r="J29" s="40">
        <v>0</v>
      </c>
      <c r="K29" s="40">
        <v>1500</v>
      </c>
      <c r="L29" s="40">
        <v>15</v>
      </c>
      <c r="M29" s="40">
        <v>30</v>
      </c>
      <c r="N29" s="40" t="s">
        <v>224</v>
      </c>
      <c r="O29" s="40"/>
      <c r="P29" s="40"/>
      <c r="Q29" s="40" t="s">
        <v>102</v>
      </c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</row>
    <row r="30" spans="1:29" x14ac:dyDescent="0.3">
      <c r="A30" s="40">
        <v>22003</v>
      </c>
      <c r="B30" s="41" t="s">
        <v>243</v>
      </c>
      <c r="C30" s="42" t="s">
        <v>234</v>
      </c>
      <c r="D30" s="40" t="str">
        <f t="shared" ref="D30" si="16">"STR_"&amp;UPPER(C30)</f>
        <v>STR_MOB_N_0004</v>
      </c>
      <c r="E30" s="40" t="str">
        <f t="shared" ref="E30" si="17">D30&amp;"_DESC"</f>
        <v>STR_MOB_N_0004_DESC</v>
      </c>
      <c r="F30" s="40" t="s">
        <v>101</v>
      </c>
      <c r="G30" s="40">
        <v>25</v>
      </c>
      <c r="H30" s="40">
        <v>1</v>
      </c>
      <c r="I30" s="40">
        <v>1</v>
      </c>
      <c r="J30" s="40">
        <v>0</v>
      </c>
      <c r="K30" s="40">
        <v>1500</v>
      </c>
      <c r="L30" s="40">
        <v>20</v>
      </c>
      <c r="M30" s="40">
        <v>50</v>
      </c>
      <c r="N30" s="40" t="s">
        <v>224</v>
      </c>
      <c r="O30" s="40"/>
      <c r="P30" s="40"/>
      <c r="Q30" s="40" t="s">
        <v>244</v>
      </c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</row>
    <row r="31" spans="1:29" x14ac:dyDescent="0.3">
      <c r="A31" s="40">
        <v>22004</v>
      </c>
      <c r="B31" s="41" t="s">
        <v>245</v>
      </c>
      <c r="C31" s="42" t="s">
        <v>235</v>
      </c>
      <c r="D31" s="40" t="str">
        <f t="shared" ref="D31:D39" si="18">"STR_"&amp;UPPER(C31)</f>
        <v>STR_MOB_N_0005</v>
      </c>
      <c r="E31" s="40" t="str">
        <f t="shared" ref="E31:E39" si="19">D31&amp;"_DESC"</f>
        <v>STR_MOB_N_0005_DESC</v>
      </c>
      <c r="F31" s="40" t="s">
        <v>101</v>
      </c>
      <c r="G31" s="40">
        <v>1</v>
      </c>
      <c r="H31" s="40">
        <v>1</v>
      </c>
      <c r="I31" s="40">
        <v>1</v>
      </c>
      <c r="J31" s="40">
        <v>0</v>
      </c>
      <c r="K31" s="40">
        <v>1200</v>
      </c>
      <c r="L31" s="40">
        <v>70</v>
      </c>
      <c r="M31" s="40">
        <v>10</v>
      </c>
      <c r="N31" s="40" t="s">
        <v>224</v>
      </c>
      <c r="O31" s="40"/>
      <c r="P31" s="40"/>
      <c r="Q31" s="40" t="s">
        <v>246</v>
      </c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</row>
    <row r="32" spans="1:29" x14ac:dyDescent="0.3">
      <c r="A32" s="40">
        <v>22005</v>
      </c>
      <c r="B32" s="41" t="s">
        <v>248</v>
      </c>
      <c r="C32" s="42" t="s">
        <v>236</v>
      </c>
      <c r="D32" s="40" t="str">
        <f t="shared" si="18"/>
        <v>STR_MOB_N_0006</v>
      </c>
      <c r="E32" s="40" t="str">
        <f t="shared" si="19"/>
        <v>STR_MOB_N_0006_DESC</v>
      </c>
      <c r="F32" s="40" t="s">
        <v>101</v>
      </c>
      <c r="G32" s="40">
        <v>40</v>
      </c>
      <c r="H32" s="40">
        <v>1</v>
      </c>
      <c r="I32" s="40">
        <v>1</v>
      </c>
      <c r="J32" s="40">
        <v>0</v>
      </c>
      <c r="K32" s="40">
        <v>1000</v>
      </c>
      <c r="L32" s="40">
        <v>60</v>
      </c>
      <c r="M32" s="40">
        <v>25</v>
      </c>
      <c r="N32" s="40" t="s">
        <v>224</v>
      </c>
      <c r="O32" s="40"/>
      <c r="P32" s="40"/>
      <c r="Q32" s="40" t="s">
        <v>251</v>
      </c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</row>
    <row r="33" spans="1:29" x14ac:dyDescent="0.3">
      <c r="A33" s="40">
        <v>22006</v>
      </c>
      <c r="B33" s="41" t="s">
        <v>250</v>
      </c>
      <c r="C33" s="42" t="s">
        <v>237</v>
      </c>
      <c r="D33" s="40" t="str">
        <f t="shared" si="18"/>
        <v>STR_MOB_N_0007</v>
      </c>
      <c r="E33" s="40" t="str">
        <f t="shared" si="19"/>
        <v>STR_MOB_N_0007_DESC</v>
      </c>
      <c r="F33" s="40" t="s">
        <v>101</v>
      </c>
      <c r="G33" s="40">
        <v>60</v>
      </c>
      <c r="H33" s="40">
        <v>1</v>
      </c>
      <c r="I33" s="40">
        <v>1</v>
      </c>
      <c r="J33" s="40">
        <v>0</v>
      </c>
      <c r="K33" s="40">
        <v>900</v>
      </c>
      <c r="L33" s="40">
        <v>70</v>
      </c>
      <c r="M33" s="40">
        <v>35</v>
      </c>
      <c r="N33" s="40" t="s">
        <v>224</v>
      </c>
      <c r="O33" s="40"/>
      <c r="P33" s="40"/>
      <c r="Q33" s="40" t="s">
        <v>252</v>
      </c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</row>
    <row r="34" spans="1:29" x14ac:dyDescent="0.3">
      <c r="A34" s="40">
        <v>22007</v>
      </c>
      <c r="B34" s="41" t="s">
        <v>258</v>
      </c>
      <c r="C34" s="42" t="s">
        <v>238</v>
      </c>
      <c r="D34" s="40" t="str">
        <f t="shared" si="18"/>
        <v>STR_MOB_N_0008</v>
      </c>
      <c r="E34" s="40" t="str">
        <f t="shared" si="19"/>
        <v>STR_MOB_N_0008_DESC</v>
      </c>
      <c r="F34" s="40" t="s">
        <v>101</v>
      </c>
      <c r="G34" s="40">
        <v>80</v>
      </c>
      <c r="H34" s="40">
        <v>1</v>
      </c>
      <c r="I34" s="40">
        <v>1</v>
      </c>
      <c r="J34" s="40">
        <v>0</v>
      </c>
      <c r="K34" s="40">
        <v>800</v>
      </c>
      <c r="L34" s="40">
        <v>80</v>
      </c>
      <c r="M34" s="40">
        <v>45</v>
      </c>
      <c r="N34" s="40" t="s">
        <v>224</v>
      </c>
      <c r="O34" s="40"/>
      <c r="P34" s="40"/>
      <c r="Q34" s="40" t="s">
        <v>253</v>
      </c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</row>
    <row r="35" spans="1:29" x14ac:dyDescent="0.3">
      <c r="A35" s="40">
        <v>22008</v>
      </c>
      <c r="B35" s="41" t="s">
        <v>259</v>
      </c>
      <c r="C35" s="42" t="s">
        <v>239</v>
      </c>
      <c r="D35" s="40" t="str">
        <f t="shared" si="18"/>
        <v>STR_MOB_N_0009</v>
      </c>
      <c r="E35" s="40" t="str">
        <f t="shared" si="19"/>
        <v>STR_MOB_N_0009_DESC</v>
      </c>
      <c r="F35" s="40" t="s">
        <v>101</v>
      </c>
      <c r="G35" s="40">
        <v>1</v>
      </c>
      <c r="H35" s="40">
        <v>1</v>
      </c>
      <c r="I35" s="40">
        <v>1</v>
      </c>
      <c r="J35" s="40">
        <v>0</v>
      </c>
      <c r="K35" s="40">
        <v>1800</v>
      </c>
      <c r="L35" s="40">
        <v>20</v>
      </c>
      <c r="M35" s="40">
        <v>5</v>
      </c>
      <c r="N35" s="40" t="s">
        <v>224</v>
      </c>
      <c r="O35" s="40"/>
      <c r="P35" s="40"/>
      <c r="Q35" s="40" t="s">
        <v>254</v>
      </c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</row>
    <row r="36" spans="1:29" x14ac:dyDescent="0.3">
      <c r="A36" s="40">
        <v>22009</v>
      </c>
      <c r="B36" s="41" t="s">
        <v>262</v>
      </c>
      <c r="C36" s="42" t="s">
        <v>240</v>
      </c>
      <c r="D36" s="40" t="str">
        <f t="shared" si="18"/>
        <v>STR_MOB_N_0010</v>
      </c>
      <c r="E36" s="40" t="str">
        <f t="shared" si="19"/>
        <v>STR_MOB_N_0010_DESC</v>
      </c>
      <c r="F36" s="40" t="s">
        <v>101</v>
      </c>
      <c r="G36" s="40">
        <v>50</v>
      </c>
      <c r="H36" s="40">
        <v>50</v>
      </c>
      <c r="I36" s="40">
        <v>3</v>
      </c>
      <c r="J36" s="40">
        <v>0</v>
      </c>
      <c r="K36" s="40">
        <v>1500</v>
      </c>
      <c r="L36" s="40">
        <v>0</v>
      </c>
      <c r="M36" s="40">
        <v>70</v>
      </c>
      <c r="N36" s="40" t="s">
        <v>224</v>
      </c>
      <c r="O36" s="40"/>
      <c r="P36" s="40"/>
      <c r="Q36" s="40" t="s">
        <v>255</v>
      </c>
      <c r="R36" s="40"/>
      <c r="S36" s="40" t="s">
        <v>285</v>
      </c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 spans="1:29" x14ac:dyDescent="0.3">
      <c r="A37" s="40">
        <v>22010</v>
      </c>
      <c r="B37" s="41" t="s">
        <v>260</v>
      </c>
      <c r="C37" s="42" t="s">
        <v>241</v>
      </c>
      <c r="D37" s="40" t="str">
        <f t="shared" si="18"/>
        <v>STR_MOB_N_0011</v>
      </c>
      <c r="E37" s="40" t="str">
        <f t="shared" si="19"/>
        <v>STR_MOB_N_0011_DESC</v>
      </c>
      <c r="F37" s="40" t="s">
        <v>101</v>
      </c>
      <c r="G37" s="40">
        <v>100</v>
      </c>
      <c r="H37" s="40">
        <v>70</v>
      </c>
      <c r="I37" s="40">
        <v>5</v>
      </c>
      <c r="J37" s="40">
        <v>0</v>
      </c>
      <c r="K37" s="40">
        <v>1200</v>
      </c>
      <c r="L37" s="40">
        <v>45</v>
      </c>
      <c r="M37" s="40">
        <v>250</v>
      </c>
      <c r="N37" s="40" t="s">
        <v>224</v>
      </c>
      <c r="O37" s="40"/>
      <c r="P37" s="40"/>
      <c r="Q37" s="40" t="s">
        <v>256</v>
      </c>
      <c r="R37" s="40"/>
      <c r="S37" s="40" t="s">
        <v>285</v>
      </c>
      <c r="T37" s="40"/>
      <c r="U37" s="40"/>
      <c r="V37" s="40"/>
      <c r="W37" s="40"/>
      <c r="X37" s="40"/>
      <c r="Y37" s="40"/>
      <c r="Z37" s="40"/>
      <c r="AA37" s="40"/>
      <c r="AB37" s="40"/>
      <c r="AC37" s="40"/>
    </row>
    <row r="38" spans="1:29" x14ac:dyDescent="0.3">
      <c r="A38" s="40">
        <v>22011</v>
      </c>
      <c r="B38" s="41" t="s">
        <v>261</v>
      </c>
      <c r="C38" s="42" t="s">
        <v>242</v>
      </c>
      <c r="D38" s="40" t="str">
        <f t="shared" si="18"/>
        <v>STR_MOB_N_0012</v>
      </c>
      <c r="E38" s="40" t="str">
        <f t="shared" si="19"/>
        <v>STR_MOB_N_0012_DESC</v>
      </c>
      <c r="F38" s="40" t="s">
        <v>101</v>
      </c>
      <c r="G38" s="40">
        <v>120</v>
      </c>
      <c r="H38" s="40">
        <v>80</v>
      </c>
      <c r="I38" s="40">
        <v>4</v>
      </c>
      <c r="J38" s="40">
        <v>0</v>
      </c>
      <c r="K38" s="40">
        <v>1000</v>
      </c>
      <c r="L38" s="40">
        <v>60</v>
      </c>
      <c r="M38" s="40">
        <v>200</v>
      </c>
      <c r="N38" s="40" t="s">
        <v>224</v>
      </c>
      <c r="O38" s="40"/>
      <c r="P38" s="40"/>
      <c r="Q38" s="40" t="s">
        <v>257</v>
      </c>
      <c r="R38" s="40"/>
      <c r="S38" s="40" t="s">
        <v>285</v>
      </c>
      <c r="T38" s="40"/>
      <c r="U38" s="40"/>
      <c r="V38" s="40"/>
      <c r="W38" s="40"/>
      <c r="X38" s="40"/>
      <c r="Y38" s="40"/>
      <c r="Z38" s="40"/>
      <c r="AA38" s="40"/>
      <c r="AB38" s="40"/>
      <c r="AC38" s="40"/>
    </row>
    <row r="39" spans="1:29" x14ac:dyDescent="0.3">
      <c r="A39" s="40">
        <v>22012</v>
      </c>
      <c r="B39" s="41" t="s">
        <v>317</v>
      </c>
      <c r="C39" s="42" t="s">
        <v>318</v>
      </c>
      <c r="D39" s="40" t="str">
        <f t="shared" si="18"/>
        <v>STR_MOB_N_0013</v>
      </c>
      <c r="E39" s="40" t="str">
        <f t="shared" si="19"/>
        <v>STR_MOB_N_0013_DESC</v>
      </c>
      <c r="F39" s="40" t="s">
        <v>101</v>
      </c>
      <c r="G39" s="40">
        <v>25</v>
      </c>
      <c r="H39" s="40">
        <v>1</v>
      </c>
      <c r="I39" s="40">
        <v>1</v>
      </c>
      <c r="J39" s="40">
        <v>0</v>
      </c>
      <c r="K39" s="40">
        <v>1500</v>
      </c>
      <c r="L39" s="40">
        <v>20</v>
      </c>
      <c r="M39" s="40">
        <v>1</v>
      </c>
      <c r="N39" s="40" t="s">
        <v>224</v>
      </c>
      <c r="O39" s="40"/>
      <c r="P39" s="40"/>
      <c r="Q39" s="40" t="s">
        <v>319</v>
      </c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 spans="1:29" x14ac:dyDescent="0.3">
      <c r="A40" s="40">
        <v>22013</v>
      </c>
      <c r="B40" s="41" t="s">
        <v>320</v>
      </c>
      <c r="C40" s="42" t="s">
        <v>321</v>
      </c>
      <c r="D40" s="40" t="str">
        <f t="shared" ref="D40" si="20">"STR_"&amp;UPPER(C40)</f>
        <v>STR_MOB_N_0014</v>
      </c>
      <c r="E40" s="40" t="str">
        <f t="shared" ref="E40" si="21">D40&amp;"_DESC"</f>
        <v>STR_MOB_N_0014_DESC</v>
      </c>
      <c r="F40" s="40" t="s">
        <v>101</v>
      </c>
      <c r="G40" s="40">
        <v>20</v>
      </c>
      <c r="H40" s="40">
        <v>60</v>
      </c>
      <c r="I40" s="40">
        <v>3</v>
      </c>
      <c r="J40" s="40">
        <v>0</v>
      </c>
      <c r="K40" s="40">
        <v>1500</v>
      </c>
      <c r="L40" s="40">
        <v>15</v>
      </c>
      <c r="M40" s="40">
        <v>70</v>
      </c>
      <c r="N40" s="40" t="s">
        <v>224</v>
      </c>
      <c r="O40" s="40"/>
      <c r="P40" s="40"/>
      <c r="Q40" s="40" t="s">
        <v>322</v>
      </c>
      <c r="R40" s="40"/>
      <c r="S40" s="40" t="s">
        <v>285</v>
      </c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 spans="1:29" x14ac:dyDescent="0.3">
      <c r="A41" s="33">
        <v>25000</v>
      </c>
      <c r="B41" s="34" t="s">
        <v>323</v>
      </c>
      <c r="C41" s="35" t="s">
        <v>204</v>
      </c>
      <c r="D41" s="33" t="s">
        <v>223</v>
      </c>
      <c r="E41" s="33" t="str">
        <f t="shared" si="13"/>
        <v>STR_BOX_N_0001_DESC</v>
      </c>
      <c r="F41" s="33" t="s">
        <v>88</v>
      </c>
      <c r="G41" s="33">
        <v>0</v>
      </c>
      <c r="H41" s="33">
        <v>0</v>
      </c>
      <c r="I41" s="33">
        <v>1</v>
      </c>
      <c r="J41" s="33">
        <v>0</v>
      </c>
      <c r="K41" s="33">
        <v>0</v>
      </c>
      <c r="L41" s="33">
        <v>0</v>
      </c>
      <c r="M41" s="33">
        <v>0</v>
      </c>
      <c r="N41" s="33" t="s">
        <v>205</v>
      </c>
      <c r="O41" s="33"/>
      <c r="P41" s="33"/>
      <c r="Q41" s="36" t="s">
        <v>330</v>
      </c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 spans="1:29" x14ac:dyDescent="0.3">
      <c r="A42" s="33">
        <v>25001</v>
      </c>
      <c r="B42" s="34" t="s">
        <v>324</v>
      </c>
      <c r="C42" s="35" t="s">
        <v>325</v>
      </c>
      <c r="D42" s="33" t="s">
        <v>326</v>
      </c>
      <c r="E42" s="33" t="str">
        <f t="shared" ref="E42:E44" si="22">D42&amp;"_DESC"</f>
        <v>STR_BOX_N_0002_DESC</v>
      </c>
      <c r="F42" s="33" t="s">
        <v>88</v>
      </c>
      <c r="G42" s="33">
        <v>0</v>
      </c>
      <c r="H42" s="33">
        <v>0</v>
      </c>
      <c r="I42" s="33">
        <v>1</v>
      </c>
      <c r="J42" s="33">
        <v>0</v>
      </c>
      <c r="K42" s="33">
        <v>0</v>
      </c>
      <c r="L42" s="33">
        <v>0</v>
      </c>
      <c r="M42" s="33">
        <v>0</v>
      </c>
      <c r="N42" s="33" t="s">
        <v>205</v>
      </c>
      <c r="O42" s="33"/>
      <c r="P42" s="33"/>
      <c r="Q42" s="36" t="s">
        <v>330</v>
      </c>
      <c r="T42" s="33"/>
      <c r="U42" s="33"/>
      <c r="V42" s="33"/>
      <c r="W42" s="33"/>
      <c r="X42" s="33"/>
      <c r="Y42" s="33"/>
      <c r="Z42" s="33"/>
      <c r="AA42" s="33"/>
      <c r="AB42" s="33"/>
      <c r="AC42" s="33"/>
    </row>
    <row r="43" spans="1:29" x14ac:dyDescent="0.3">
      <c r="A43" s="33">
        <v>25002</v>
      </c>
      <c r="B43" s="34" t="s">
        <v>327</v>
      </c>
      <c r="C43" s="35" t="s">
        <v>328</v>
      </c>
      <c r="D43" s="33" t="s">
        <v>329</v>
      </c>
      <c r="E43" s="33" t="str">
        <f t="shared" si="22"/>
        <v>STR_BOX_N_0003_DESC</v>
      </c>
      <c r="F43" s="33" t="s">
        <v>88</v>
      </c>
      <c r="G43" s="33">
        <v>0</v>
      </c>
      <c r="H43" s="33">
        <v>0</v>
      </c>
      <c r="I43" s="33">
        <v>1</v>
      </c>
      <c r="J43" s="33">
        <v>0</v>
      </c>
      <c r="K43" s="33">
        <v>0</v>
      </c>
      <c r="L43" s="33">
        <v>0</v>
      </c>
      <c r="M43" s="33">
        <v>0</v>
      </c>
      <c r="N43" s="33" t="s">
        <v>205</v>
      </c>
      <c r="O43" s="33"/>
      <c r="P43" s="33"/>
      <c r="Q43" s="36" t="s">
        <v>331</v>
      </c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spans="1:29" x14ac:dyDescent="0.3">
      <c r="A44" s="40">
        <v>26000</v>
      </c>
      <c r="B44" s="41" t="s">
        <v>332</v>
      </c>
      <c r="C44" s="42" t="s">
        <v>333</v>
      </c>
      <c r="D44" s="40" t="s">
        <v>223</v>
      </c>
      <c r="E44" s="40" t="str">
        <f t="shared" si="22"/>
        <v>STR_BOX_N_0001_DESC</v>
      </c>
      <c r="F44" s="40" t="s">
        <v>334</v>
      </c>
      <c r="G44" s="40">
        <v>300</v>
      </c>
      <c r="H44" s="40">
        <v>0</v>
      </c>
      <c r="I44" s="40">
        <v>1</v>
      </c>
      <c r="J44" s="40">
        <v>0</v>
      </c>
      <c r="K44" s="40">
        <v>0</v>
      </c>
      <c r="L44" s="40">
        <v>0</v>
      </c>
      <c r="M44" s="40">
        <v>0</v>
      </c>
      <c r="N44" s="40"/>
      <c r="O44" s="40"/>
      <c r="P44" s="40"/>
      <c r="Q44" s="40" t="s">
        <v>335</v>
      </c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</row>
    <row r="45" spans="1:29" x14ac:dyDescent="0.3">
      <c r="A45" s="40">
        <v>26001</v>
      </c>
      <c r="B45" s="41" t="s">
        <v>336</v>
      </c>
      <c r="C45" s="42" t="s">
        <v>337</v>
      </c>
      <c r="D45" s="40" t="s">
        <v>338</v>
      </c>
      <c r="E45" s="40" t="str">
        <f t="shared" ref="E45:E46" si="23">D45&amp;"_DESC"</f>
        <v>STR_TRAP_N_0001_DESC</v>
      </c>
      <c r="F45" s="40" t="s">
        <v>334</v>
      </c>
      <c r="G45" s="40">
        <v>300</v>
      </c>
      <c r="H45" s="40">
        <v>0</v>
      </c>
      <c r="I45" s="40">
        <v>1</v>
      </c>
      <c r="J45" s="40">
        <v>0</v>
      </c>
      <c r="K45" s="40">
        <v>2000</v>
      </c>
      <c r="L45" s="40">
        <v>0</v>
      </c>
      <c r="M45" s="40">
        <v>0</v>
      </c>
      <c r="N45" s="40"/>
      <c r="O45" s="40"/>
      <c r="P45" s="40"/>
      <c r="Q45" s="40" t="s">
        <v>342</v>
      </c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spans="1:29" x14ac:dyDescent="0.3">
      <c r="A46" s="40">
        <v>26002</v>
      </c>
      <c r="B46" s="41" t="s">
        <v>339</v>
      </c>
      <c r="C46" s="42" t="s">
        <v>340</v>
      </c>
      <c r="D46" s="40" t="s">
        <v>341</v>
      </c>
      <c r="E46" s="40" t="str">
        <f t="shared" si="23"/>
        <v>STR_TRAP_N_0002_DESC</v>
      </c>
      <c r="F46" s="40" t="s">
        <v>334</v>
      </c>
      <c r="G46" s="40">
        <v>0</v>
      </c>
      <c r="H46" s="40">
        <v>0</v>
      </c>
      <c r="I46" s="40">
        <v>1</v>
      </c>
      <c r="J46" s="40">
        <v>0</v>
      </c>
      <c r="K46" s="40">
        <v>0</v>
      </c>
      <c r="L46" s="40">
        <v>0</v>
      </c>
      <c r="M46" s="40">
        <v>0</v>
      </c>
      <c r="N46" s="40"/>
      <c r="O46" s="40"/>
      <c r="P46" s="40"/>
      <c r="Q46" s="40" t="s">
        <v>343</v>
      </c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</row>
    <row r="47" spans="1:29" x14ac:dyDescent="0.3">
      <c r="A47" s="33"/>
      <c r="D47" s="33"/>
      <c r="E47" s="33"/>
      <c r="M47" s="33"/>
      <c r="N47" s="33"/>
      <c r="O47" s="33"/>
      <c r="P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 spans="1:29" x14ac:dyDescent="0.3">
      <c r="A48" s="33"/>
      <c r="D48" s="33"/>
      <c r="E48" s="33"/>
      <c r="M48" s="33"/>
      <c r="N48" s="33"/>
      <c r="O48" s="33"/>
      <c r="P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spans="1:29" x14ac:dyDescent="0.3">
      <c r="A49" s="33"/>
      <c r="B49" s="34"/>
      <c r="D49" s="33"/>
      <c r="E49" s="33"/>
      <c r="M49" s="33"/>
      <c r="N49" s="33"/>
      <c r="O49" s="33"/>
      <c r="P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 spans="1:29" x14ac:dyDescent="0.3">
      <c r="A50" s="33"/>
      <c r="D50" s="33"/>
      <c r="E50" s="33"/>
      <c r="M50" s="33"/>
      <c r="N50" s="33"/>
      <c r="O50" s="33"/>
      <c r="P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 spans="1:29" x14ac:dyDescent="0.3">
      <c r="A51" s="33"/>
      <c r="D51" s="33"/>
      <c r="E51" s="33"/>
      <c r="M51" s="33"/>
      <c r="N51" s="33"/>
      <c r="O51" s="33"/>
      <c r="P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spans="1:29" x14ac:dyDescent="0.3">
      <c r="A52" s="33"/>
      <c r="D52" s="33"/>
      <c r="E52" s="33"/>
      <c r="M52" s="33"/>
      <c r="N52" s="33"/>
      <c r="O52" s="33"/>
      <c r="P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spans="1:29" x14ac:dyDescent="0.3">
      <c r="A53" s="33"/>
      <c r="D53" s="33"/>
      <c r="E53" s="33"/>
      <c r="M53" s="33"/>
      <c r="N53" s="33"/>
      <c r="O53" s="33"/>
      <c r="P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</sheetData>
  <autoFilter ref="A1:U2"/>
  <phoneticPr fontId="1" type="noConversion"/>
  <pageMargins left="0.7" right="0.7" top="0.75" bottom="0.75" header="0.3" footer="0.3"/>
  <pageSetup paperSize="9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Type!$A$2:$A$20</xm:f>
          </x14:formula1>
          <xm:sqref>F2:F46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80"/>
  <sheetViews>
    <sheetView workbookViewId="0">
      <selection activeCell="I5" sqref="I5:N5"/>
    </sheetView>
  </sheetViews>
  <sheetFormatPr defaultRowHeight="16.5" x14ac:dyDescent="0.3"/>
  <sheetData>
    <row r="1" spans="1:16" x14ac:dyDescent="0.3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 t="s">
        <v>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" t="s">
        <v>90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 t="s">
        <v>91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 t="s">
        <v>71</v>
      </c>
      <c r="I5" s="1" t="s">
        <v>71</v>
      </c>
      <c r="J5" s="1" t="s">
        <v>73</v>
      </c>
      <c r="K5" s="1" t="s">
        <v>75</v>
      </c>
      <c r="L5" s="1" t="s">
        <v>77</v>
      </c>
      <c r="M5" s="1" t="s">
        <v>79</v>
      </c>
      <c r="N5" s="1" t="s">
        <v>81</v>
      </c>
      <c r="O5" s="1"/>
      <c r="P5" s="1"/>
    </row>
    <row r="6" spans="1:16" x14ac:dyDescent="0.3">
      <c r="A6" s="1"/>
      <c r="B6" s="1"/>
      <c r="C6" s="1"/>
      <c r="D6" s="1"/>
      <c r="E6" s="1"/>
      <c r="F6" s="1"/>
      <c r="G6" s="1"/>
      <c r="H6" s="1" t="s">
        <v>73</v>
      </c>
      <c r="I6" s="1"/>
      <c r="J6" s="1"/>
      <c r="K6" s="1"/>
      <c r="L6" s="1"/>
      <c r="M6" s="1"/>
      <c r="N6" s="1"/>
      <c r="O6" s="1"/>
      <c r="P6" s="1"/>
    </row>
    <row r="7" spans="1:16" x14ac:dyDescent="0.3">
      <c r="A7" s="1"/>
      <c r="B7" s="1"/>
      <c r="C7" s="1"/>
      <c r="D7" s="1"/>
      <c r="E7" s="1"/>
      <c r="F7" s="1"/>
      <c r="G7" s="1"/>
      <c r="H7" s="1" t="s">
        <v>75</v>
      </c>
      <c r="I7" s="1"/>
      <c r="J7" s="1"/>
      <c r="K7" s="1"/>
      <c r="L7" s="1"/>
      <c r="M7" s="1"/>
      <c r="N7" s="1"/>
      <c r="O7" s="1"/>
      <c r="P7" s="1"/>
    </row>
    <row r="8" spans="1:16" x14ac:dyDescent="0.3">
      <c r="A8" s="1"/>
      <c r="B8" s="1"/>
      <c r="C8" s="1"/>
      <c r="D8" s="1"/>
      <c r="E8" s="1"/>
      <c r="F8" s="1"/>
      <c r="G8" s="1"/>
      <c r="H8" s="1" t="s">
        <v>77</v>
      </c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 t="s">
        <v>79</v>
      </c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 t="s">
        <v>81</v>
      </c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DOC History</vt:lpstr>
      <vt:lpstr>Definition</vt:lpstr>
      <vt:lpstr>Data</vt:lpstr>
      <vt:lpstr>Type</vt:lpstr>
      <vt:lpstr>Data!_FilterDatabase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2014-11-19T16:49:27Z</cp:lastPrinted>
  <dcterms:created xsi:type="dcterms:W3CDTF">2013-05-14T06:15:02Z</dcterms:created>
  <dcterms:modified xsi:type="dcterms:W3CDTF">2016-11-21T12:48:44Z</dcterms:modified>
</cp:coreProperties>
</file>