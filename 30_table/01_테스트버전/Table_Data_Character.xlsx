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-15" yWindow="45" windowWidth="19215" windowHeight="12135" activeTab="2"/>
  </bookViews>
  <sheets>
    <sheet name="DOC History" sheetId="6" r:id="rId1"/>
    <sheet name="Definition" sheetId="7" r:id="rId2"/>
    <sheet name="Data" sheetId="8" r:id="rId3"/>
    <sheet name="Type" sheetId="9" r:id="rId4"/>
    <sheet name="밸런스" sheetId="10" r:id="rId5"/>
  </sheets>
  <definedNames>
    <definedName name="_xlnm._FilterDatabase" localSheetId="2" hidden="1">Data!$A$1:$X$2</definedName>
  </definedNames>
  <calcPr calcId="145621"/>
</workbook>
</file>

<file path=xl/calcChain.xml><?xml version="1.0" encoding="utf-8"?>
<calcChain xmlns="http://schemas.openxmlformats.org/spreadsheetml/2006/main">
  <c r="D26" i="8" l="1"/>
  <c r="E26" i="8" s="1"/>
  <c r="D25" i="8"/>
  <c r="E25" i="8" s="1"/>
  <c r="D24" i="8"/>
  <c r="E24" i="8" s="1"/>
  <c r="D19" i="8" l="1"/>
  <c r="E19" i="8" s="1"/>
  <c r="D20" i="8"/>
  <c r="E20" i="8"/>
  <c r="D21" i="8"/>
  <c r="E21" i="8" s="1"/>
  <c r="D22" i="8"/>
  <c r="E22" i="8"/>
  <c r="D23" i="8"/>
  <c r="E23" i="8" s="1"/>
  <c r="I31" i="10"/>
  <c r="O31" i="10"/>
  <c r="I32" i="10"/>
  <c r="O32" i="10"/>
  <c r="I33" i="10"/>
  <c r="O33" i="10"/>
  <c r="I34" i="10"/>
  <c r="O34" i="10"/>
  <c r="I35" i="10"/>
  <c r="O35" i="10"/>
  <c r="D5" i="8" l="1"/>
  <c r="E5" i="8" s="1"/>
  <c r="D6" i="8"/>
  <c r="E6" i="8"/>
  <c r="D7" i="8"/>
  <c r="E7" i="8" s="1"/>
  <c r="D8" i="8"/>
  <c r="E8" i="8" s="1"/>
  <c r="D9" i="8"/>
  <c r="E9" i="8" s="1"/>
  <c r="D10" i="8"/>
  <c r="E10" i="8"/>
  <c r="D11" i="8"/>
  <c r="E11" i="8" s="1"/>
  <c r="D12" i="8"/>
  <c r="E12" i="8"/>
  <c r="D13" i="8"/>
  <c r="E13" i="8" s="1"/>
  <c r="D14" i="8"/>
  <c r="E14" i="8"/>
  <c r="D15" i="8"/>
  <c r="E15" i="8" s="1"/>
  <c r="D16" i="8"/>
  <c r="E16" i="8"/>
  <c r="D17" i="8"/>
  <c r="E17" i="8" s="1"/>
  <c r="D18" i="8"/>
  <c r="E18" i="8"/>
  <c r="O30" i="10"/>
  <c r="I30" i="10"/>
  <c r="O29" i="10"/>
  <c r="I29" i="10"/>
  <c r="O28" i="10"/>
  <c r="I28" i="10"/>
  <c r="O27" i="10"/>
  <c r="I27" i="10"/>
  <c r="O26" i="10"/>
  <c r="I26" i="10"/>
  <c r="O25" i="10"/>
  <c r="I25" i="10"/>
  <c r="O24" i="10"/>
  <c r="I24" i="10"/>
  <c r="O23" i="10"/>
  <c r="I23" i="10"/>
  <c r="O22" i="10"/>
  <c r="I22" i="10"/>
  <c r="O21" i="10"/>
  <c r="I21" i="10"/>
  <c r="O17" i="10"/>
  <c r="O18" i="10"/>
  <c r="O19" i="10"/>
  <c r="O20" i="10"/>
  <c r="I17" i="10"/>
  <c r="I18" i="10"/>
  <c r="I19" i="10"/>
  <c r="I20" i="10"/>
  <c r="O16" i="10"/>
  <c r="O15" i="10"/>
  <c r="O14" i="10"/>
  <c r="I16" i="10"/>
  <c r="I15" i="10"/>
  <c r="I14" i="10"/>
  <c r="C2" i="10"/>
  <c r="C3" i="10"/>
  <c r="C4" i="10"/>
  <c r="C5" i="10"/>
  <c r="C6" i="10"/>
  <c r="C7" i="10"/>
  <c r="C8" i="10"/>
  <c r="D3" i="8" l="1"/>
  <c r="E3" i="8" s="1"/>
  <c r="D4" i="8"/>
  <c r="E4" i="8" s="1"/>
  <c r="D2" i="8"/>
  <c r="E2" i="8" s="1"/>
</calcChain>
</file>

<file path=xl/sharedStrings.xml><?xml version="1.0" encoding="utf-8"?>
<sst xmlns="http://schemas.openxmlformats.org/spreadsheetml/2006/main" count="442" uniqueCount="267">
  <si>
    <t>작업자</t>
    <phoneticPr fontId="1" type="noConversion"/>
  </si>
  <si>
    <t>No</t>
    <phoneticPr fontId="1" type="noConversion"/>
  </si>
  <si>
    <t>날짜</t>
    <phoneticPr fontId="1" type="noConversion"/>
  </si>
  <si>
    <t>문서 변경 내용</t>
    <phoneticPr fontId="1" type="noConversion"/>
  </si>
  <si>
    <t>No</t>
    <phoneticPr fontId="1" type="noConversion"/>
  </si>
  <si>
    <t>Type</t>
    <phoneticPr fontId="1" type="noConversion"/>
  </si>
  <si>
    <t>Min</t>
    <phoneticPr fontId="1" type="noConversion"/>
  </si>
  <si>
    <t>Max</t>
    <phoneticPr fontId="1" type="noConversion"/>
  </si>
  <si>
    <t>Default</t>
    <phoneticPr fontId="1" type="noConversion"/>
  </si>
  <si>
    <t>Name</t>
    <phoneticPr fontId="1" type="noConversion"/>
  </si>
  <si>
    <t>Dev_name</t>
    <phoneticPr fontId="1" type="noConversion"/>
  </si>
  <si>
    <t>설명</t>
    <phoneticPr fontId="1" type="noConversion"/>
  </si>
  <si>
    <t>[file] 최초 작성</t>
    <phoneticPr fontId="1" type="noConversion"/>
  </si>
  <si>
    <t>int</t>
    <phoneticPr fontId="1" type="noConversion"/>
  </si>
  <si>
    <t>string</t>
    <phoneticPr fontId="1" type="noConversion"/>
  </si>
  <si>
    <t>NULL</t>
    <phoneticPr fontId="1" type="noConversion"/>
  </si>
  <si>
    <t>Id</t>
    <phoneticPr fontId="1" type="noConversion"/>
  </si>
  <si>
    <t>Name</t>
    <phoneticPr fontId="1" type="noConversion"/>
  </si>
  <si>
    <t>STR</t>
    <phoneticPr fontId="1" type="noConversion"/>
  </si>
  <si>
    <t>DESC</t>
    <phoneticPr fontId="1" type="noConversion"/>
  </si>
  <si>
    <t>NULL</t>
    <phoneticPr fontId="1" type="noConversion"/>
  </si>
  <si>
    <t>명칭</t>
    <phoneticPr fontId="1" type="noConversion"/>
  </si>
  <si>
    <t>dev_name</t>
    <phoneticPr fontId="1" type="noConversion"/>
  </si>
  <si>
    <t>string</t>
    <phoneticPr fontId="1" type="noConversion"/>
  </si>
  <si>
    <t>기획에서 데이터에 대해 붙인 네이밍, 실제 데이터에는 반영되지 않음</t>
    <phoneticPr fontId="1" type="noConversion"/>
  </si>
  <si>
    <t>아이디</t>
    <phoneticPr fontId="1" type="noConversion"/>
  </si>
  <si>
    <t>이름</t>
    <phoneticPr fontId="1" type="noConversion"/>
  </si>
  <si>
    <t>이름 문자열</t>
    <phoneticPr fontId="1" type="noConversion"/>
  </si>
  <si>
    <t>설명 문자열</t>
    <phoneticPr fontId="1" type="noConversion"/>
  </si>
  <si>
    <t>변동언</t>
    <phoneticPr fontId="1" type="noConversion"/>
  </si>
  <si>
    <t>데이터 이름. 키 값으로 사용하므로 중복되면 안됨</t>
    <phoneticPr fontId="1" type="noConversion"/>
  </si>
  <si>
    <t>UI를 통해서 유저에게 보여지는 이름 텍스트의 참조값, Table_String_Kor 테이블에서 참조</t>
    <phoneticPr fontId="1" type="noConversion"/>
  </si>
  <si>
    <t>UI를 통해서 유저에게 보여지는 설명 텍스트의 참조값, Table_String_Kor 테이블에서 참조</t>
    <phoneticPr fontId="1" type="noConversion"/>
  </si>
  <si>
    <t>Grade</t>
    <phoneticPr fontId="1" type="noConversion"/>
  </si>
  <si>
    <t/>
  </si>
  <si>
    <t>등급</t>
    <phoneticPr fontId="1" type="noConversion"/>
  </si>
  <si>
    <t>Grade</t>
    <phoneticPr fontId="1" type="noConversion"/>
  </si>
  <si>
    <t>Icon</t>
    <phoneticPr fontId="1" type="noConversion"/>
  </si>
  <si>
    <t>데이터의 고유한 키값 (ID대역: 10000~19999)</t>
    <phoneticPr fontId="1" type="noConversion"/>
  </si>
  <si>
    <t>캐릭터의 등급, 높을수록 좋다.</t>
    <phoneticPr fontId="1" type="noConversion"/>
  </si>
  <si>
    <t>힘</t>
    <phoneticPr fontId="1" type="noConversion"/>
  </si>
  <si>
    <t>민첩</t>
    <phoneticPr fontId="1" type="noConversion"/>
  </si>
  <si>
    <t>지력</t>
    <phoneticPr fontId="1" type="noConversion"/>
  </si>
  <si>
    <t>체력</t>
    <phoneticPr fontId="1" type="noConversion"/>
  </si>
  <si>
    <t>행운</t>
    <phoneticPr fontId="1" type="noConversion"/>
  </si>
  <si>
    <t>POW</t>
  </si>
  <si>
    <t>POW</t>
    <phoneticPr fontId="1" type="noConversion"/>
  </si>
  <si>
    <t>DEX</t>
  </si>
  <si>
    <t>DEX</t>
    <phoneticPr fontId="1" type="noConversion"/>
  </si>
  <si>
    <t>INT</t>
    <phoneticPr fontId="1" type="noConversion"/>
  </si>
  <si>
    <t>CON</t>
  </si>
  <si>
    <t>CON</t>
    <phoneticPr fontId="1" type="noConversion"/>
  </si>
  <si>
    <t>LUC</t>
  </si>
  <si>
    <t>LUC</t>
    <phoneticPr fontId="1" type="noConversion"/>
  </si>
  <si>
    <t>캐릭터의 힘</t>
    <phoneticPr fontId="1" type="noConversion"/>
  </si>
  <si>
    <t>캐릭터의 민첩</t>
    <phoneticPr fontId="1" type="noConversion"/>
  </si>
  <si>
    <t>캐릭터의 지력</t>
    <phoneticPr fontId="1" type="noConversion"/>
  </si>
  <si>
    <t>캐릭터의 체력</t>
    <phoneticPr fontId="1" type="noConversion"/>
  </si>
  <si>
    <t>캐릭터의 행운</t>
    <phoneticPr fontId="1" type="noConversion"/>
  </si>
  <si>
    <t>RND_POW</t>
  </si>
  <si>
    <t>RND_POW</t>
    <phoneticPr fontId="1" type="noConversion"/>
  </si>
  <si>
    <t>RND_DEX</t>
  </si>
  <si>
    <t>RND_DEX</t>
    <phoneticPr fontId="1" type="noConversion"/>
  </si>
  <si>
    <t>RND_INT</t>
  </si>
  <si>
    <t>RND_INT</t>
    <phoneticPr fontId="1" type="noConversion"/>
  </si>
  <si>
    <t>RND_CON</t>
  </si>
  <si>
    <t>RND_CON</t>
    <phoneticPr fontId="1" type="noConversion"/>
  </si>
  <si>
    <t>RND_LUC</t>
  </si>
  <si>
    <t>RND_LUC</t>
    <phoneticPr fontId="1" type="noConversion"/>
  </si>
  <si>
    <t>캐릭터 생성 시 랜덤으로 더해지는 캐릭터의 힘</t>
  </si>
  <si>
    <t>캐릭터 생성 시 랜덤으로 더해지는 캐릭터의 민첩</t>
  </si>
  <si>
    <t>캐릭터 생성 시 랜덤으로 더해지는 캐릭터의 지력</t>
  </si>
  <si>
    <t>캐릭터 생성 시 랜덤으로 더해지는 캐릭터의 체력</t>
  </si>
  <si>
    <t>캐릭터 생성 시 랜덤으로 더해지는 캐릭터의 행운</t>
  </si>
  <si>
    <t>모델명</t>
    <phoneticPr fontId="1" type="noConversion"/>
  </si>
  <si>
    <t>Model</t>
  </si>
  <si>
    <t>Model</t>
    <phoneticPr fontId="1" type="noConversion"/>
  </si>
  <si>
    <t>캐릭터 모델 이름</t>
    <phoneticPr fontId="1" type="noConversion"/>
  </si>
  <si>
    <t>cha_0002</t>
  </si>
  <si>
    <t>cha_0003</t>
  </si>
  <si>
    <t>cha_n_0001</t>
    <phoneticPr fontId="1" type="noConversion"/>
  </si>
  <si>
    <t>cha_n_0002</t>
  </si>
  <si>
    <t>cha_n_0003</t>
  </si>
  <si>
    <t>INT</t>
    <phoneticPr fontId="1" type="noConversion"/>
  </si>
  <si>
    <t>Icon</t>
    <phoneticPr fontId="1" type="noConversion"/>
  </si>
  <si>
    <t>icon_item_6002</t>
  </si>
  <si>
    <t>icon_item_6003</t>
  </si>
  <si>
    <t>아이콘</t>
    <phoneticPr fontId="1" type="noConversion"/>
  </si>
  <si>
    <t>캐릭터 아이콘 이름</t>
    <phoneticPr fontId="1" type="noConversion"/>
  </si>
  <si>
    <t>D</t>
    <phoneticPr fontId="1" type="noConversion"/>
  </si>
  <si>
    <t>등급</t>
    <phoneticPr fontId="1" type="noConversion"/>
  </si>
  <si>
    <t>기본</t>
    <phoneticPr fontId="1" type="noConversion"/>
  </si>
  <si>
    <t>랜덤</t>
    <phoneticPr fontId="1" type="noConversion"/>
  </si>
  <si>
    <t>강화</t>
    <phoneticPr fontId="1" type="noConversion"/>
  </si>
  <si>
    <t>합계</t>
    <phoneticPr fontId="1" type="noConversion"/>
  </si>
  <si>
    <t>C</t>
    <phoneticPr fontId="1" type="noConversion"/>
  </si>
  <si>
    <t>B</t>
    <phoneticPr fontId="1" type="noConversion"/>
  </si>
  <si>
    <t>A</t>
    <phoneticPr fontId="1" type="noConversion"/>
  </si>
  <si>
    <t>S</t>
    <phoneticPr fontId="1" type="noConversion"/>
  </si>
  <si>
    <t>SS</t>
    <phoneticPr fontId="1" type="noConversion"/>
  </si>
  <si>
    <t>Grade</t>
  </si>
  <si>
    <t>INT</t>
  </si>
  <si>
    <t>Name</t>
    <phoneticPr fontId="1" type="noConversion"/>
  </si>
  <si>
    <t>cha_n_0001</t>
  </si>
  <si>
    <t>N</t>
    <phoneticPr fontId="1" type="noConversion"/>
  </si>
  <si>
    <t>Rest</t>
    <phoneticPr fontId="1" type="noConversion"/>
  </si>
  <si>
    <t>cha_d_0002</t>
  </si>
  <si>
    <t>cha_d_0001</t>
  </si>
  <si>
    <t>cha_d_0001</t>
    <phoneticPr fontId="1" type="noConversion"/>
  </si>
  <si>
    <t>cha_d_0003</t>
  </si>
  <si>
    <t>cha_d_0004</t>
  </si>
  <si>
    <t>cha_d_0005</t>
  </si>
  <si>
    <t>cha_c_0001</t>
  </si>
  <si>
    <t>cha_c_0001</t>
    <phoneticPr fontId="1" type="noConversion"/>
  </si>
  <si>
    <t>cha_c_0002</t>
  </si>
  <si>
    <t>cha_c_0003</t>
  </si>
  <si>
    <t>cha_c_0004</t>
  </si>
  <si>
    <t>cha_c_0005</t>
  </si>
  <si>
    <t>cha_b_0001</t>
  </si>
  <si>
    <t>cha_b_0001</t>
    <phoneticPr fontId="1" type="noConversion"/>
  </si>
  <si>
    <t>cha_b_0002</t>
  </si>
  <si>
    <t>cha_b_0003</t>
  </si>
  <si>
    <t>cha_b_0004</t>
  </si>
  <si>
    <t>cha_b_0005</t>
  </si>
  <si>
    <t>Balance</t>
    <phoneticPr fontId="1" type="noConversion"/>
  </si>
  <si>
    <t>Pow</t>
    <phoneticPr fontId="1" type="noConversion"/>
  </si>
  <si>
    <t>Dex</t>
    <phoneticPr fontId="1" type="noConversion"/>
  </si>
  <si>
    <t>Int</t>
    <phoneticPr fontId="1" type="noConversion"/>
  </si>
  <si>
    <t>Con</t>
    <phoneticPr fontId="1" type="noConversion"/>
  </si>
  <si>
    <t>기본 캐릭터 남</t>
    <phoneticPr fontId="1" type="noConversion"/>
  </si>
  <si>
    <t>기본 캐릭터 여</t>
    <phoneticPr fontId="1" type="noConversion"/>
  </si>
  <si>
    <t>옵션 배열</t>
    <phoneticPr fontId="1" type="noConversion"/>
  </si>
  <si>
    <t>Option_Array</t>
    <phoneticPr fontId="1" type="noConversion"/>
  </si>
  <si>
    <t>array</t>
    <phoneticPr fontId="1" type="noConversion"/>
  </si>
  <si>
    <t>옵션 데이터</t>
    <phoneticPr fontId="1" type="noConversion"/>
  </si>
  <si>
    <t>Option</t>
    <phoneticPr fontId="1" type="noConversion"/>
  </si>
  <si>
    <t>string</t>
    <phoneticPr fontId="1" type="noConversion"/>
  </si>
  <si>
    <t>NULL</t>
    <phoneticPr fontId="1" type="noConversion"/>
  </si>
  <si>
    <t>옵션 데이터 이름</t>
    <phoneticPr fontId="1" type="noConversion"/>
  </si>
  <si>
    <t>드롭 배열 끝</t>
    <phoneticPr fontId="1" type="noConversion"/>
  </si>
  <si>
    <t>EndArray</t>
    <phoneticPr fontId="1" type="noConversion"/>
  </si>
  <si>
    <t>end</t>
  </si>
  <si>
    <t>NULL</t>
  </si>
  <si>
    <t>캐릭터 옵션</t>
    <phoneticPr fontId="1" type="noConversion"/>
  </si>
  <si>
    <t>Option_1</t>
    <phoneticPr fontId="1" type="noConversion"/>
  </si>
  <si>
    <t>Option_2</t>
  </si>
  <si>
    <t>Option_3</t>
  </si>
  <si>
    <t>Option_4</t>
  </si>
  <si>
    <t>Option_5</t>
  </si>
  <si>
    <t>option_satk_01</t>
    <phoneticPr fontId="1" type="noConversion"/>
  </si>
  <si>
    <t>option_latk_01</t>
    <phoneticPr fontId="1" type="noConversion"/>
  </si>
  <si>
    <t>option_def_01</t>
    <phoneticPr fontId="1" type="noConversion"/>
  </si>
  <si>
    <t>option_aspd_01</t>
    <phoneticPr fontId="1" type="noConversion"/>
  </si>
  <si>
    <t>option_spd_01</t>
    <phoneticPr fontId="1" type="noConversion"/>
  </si>
  <si>
    <t>Option_6</t>
  </si>
  <si>
    <t>option_hp_01</t>
    <phoneticPr fontId="1" type="noConversion"/>
  </si>
  <si>
    <t>Balance</t>
  </si>
  <si>
    <t>Pow</t>
  </si>
  <si>
    <t>Dex</t>
  </si>
  <si>
    <t>Int</t>
  </si>
  <si>
    <t>Con</t>
  </si>
  <si>
    <t>cha_a_0001</t>
  </si>
  <si>
    <t>cha_a_0002</t>
  </si>
  <si>
    <t>cha_a_0003</t>
  </si>
  <si>
    <t>cha_a_0004</t>
  </si>
  <si>
    <t>cha_a_0005</t>
  </si>
  <si>
    <t>icon_item_6004</t>
  </si>
  <si>
    <t>icon_item_6006</t>
  </si>
  <si>
    <t>icon_item_6007</t>
  </si>
  <si>
    <t>cha_0021</t>
  </si>
  <si>
    <t>cha_0004</t>
  </si>
  <si>
    <t>cha_0020</t>
  </si>
  <si>
    <t>cha_0017</t>
  </si>
  <si>
    <t>cha_0012</t>
  </si>
  <si>
    <t>cha_0001</t>
  </si>
  <si>
    <t>cha_0019</t>
  </si>
  <si>
    <t>cha_0016</t>
  </si>
  <si>
    <t>cha_0006</t>
  </si>
  <si>
    <t>cha_0010</t>
  </si>
  <si>
    <t>cha_0023</t>
  </si>
  <si>
    <t>cha_0014</t>
  </si>
  <si>
    <t>cha_0008</t>
  </si>
  <si>
    <t>cha_0015</t>
  </si>
  <si>
    <t>cha_0009</t>
  </si>
  <si>
    <t>cha_0018</t>
  </si>
  <si>
    <t>cha_0011</t>
  </si>
  <si>
    <t>cha_0007</t>
  </si>
  <si>
    <t>cha_0013</t>
  </si>
  <si>
    <t>icon_item_6020</t>
  </si>
  <si>
    <t>icon_item_6021</t>
  </si>
  <si>
    <t>icon_item_6017</t>
  </si>
  <si>
    <t>icon_item_6012</t>
  </si>
  <si>
    <t>icon_item_6001</t>
  </si>
  <si>
    <t>icon_item_6019</t>
  </si>
  <si>
    <t>icon_item_6016</t>
  </si>
  <si>
    <t>icon_item_6010</t>
  </si>
  <si>
    <t>icon_item_6023</t>
  </si>
  <si>
    <t>icon_item_6014</t>
  </si>
  <si>
    <t>icon_item_6008</t>
  </si>
  <si>
    <t>icon_item_6015</t>
  </si>
  <si>
    <t>icon_item_6009</t>
  </si>
  <si>
    <t>icon_item_6018</t>
  </si>
  <si>
    <t>icon_item_6011</t>
  </si>
  <si>
    <t>icon_item_6013</t>
  </si>
  <si>
    <t>option_satk_02</t>
  </si>
  <si>
    <t>option_latk_02</t>
  </si>
  <si>
    <t>option_def_02</t>
  </si>
  <si>
    <t>option_aspd_02</t>
  </si>
  <si>
    <t>option_spd_02</t>
  </si>
  <si>
    <t>option_hp_02</t>
  </si>
  <si>
    <t>option_satk_03</t>
  </si>
  <si>
    <t>option_latk_03</t>
  </si>
  <si>
    <t>option_def_03</t>
  </si>
  <si>
    <t>option_aspd_03</t>
  </si>
  <si>
    <t>option_spd_03</t>
  </si>
  <si>
    <t>option_hp_03</t>
  </si>
  <si>
    <t>카인</t>
  </si>
  <si>
    <t>아돌</t>
  </si>
  <si>
    <t>샤나</t>
  </si>
  <si>
    <t>스메라기</t>
  </si>
  <si>
    <t>아스란</t>
  </si>
  <si>
    <t>유고</t>
  </si>
  <si>
    <t>미하엘</t>
  </si>
  <si>
    <t>다임</t>
  </si>
  <si>
    <t>후미코</t>
  </si>
  <si>
    <t>키라</t>
  </si>
  <si>
    <t>메이슨</t>
  </si>
  <si>
    <t>발자르</t>
  </si>
  <si>
    <t>세실</t>
  </si>
  <si>
    <t>에밀리오</t>
  </si>
  <si>
    <t>조슈아</t>
  </si>
  <si>
    <t>패트릭</t>
  </si>
  <si>
    <t>앤드류</t>
  </si>
  <si>
    <t>바르반</t>
  </si>
  <si>
    <t>헤르미나</t>
  </si>
  <si>
    <t>카네키</t>
  </si>
  <si>
    <t>총알 모델명</t>
    <phoneticPr fontId="1" type="noConversion"/>
  </si>
  <si>
    <t>Bullet</t>
    <phoneticPr fontId="1" type="noConversion"/>
  </si>
  <si>
    <t>string</t>
    <phoneticPr fontId="1" type="noConversion"/>
  </si>
  <si>
    <t>총알 모델 이름</t>
    <phoneticPr fontId="1" type="noConversion"/>
  </si>
  <si>
    <t>Bullet</t>
    <phoneticPr fontId="1" type="noConversion"/>
  </si>
  <si>
    <t>pf_blade_01</t>
    <phoneticPr fontId="1" type="noConversion"/>
  </si>
  <si>
    <t>pf_dagger_02</t>
    <phoneticPr fontId="1" type="noConversion"/>
  </si>
  <si>
    <t>pf_fire_02</t>
    <phoneticPr fontId="1" type="noConversion"/>
  </si>
  <si>
    <t>cha_0032</t>
    <phoneticPr fontId="1" type="noConversion"/>
  </si>
  <si>
    <t>icon_item_6032</t>
    <phoneticPr fontId="1" type="noConversion"/>
  </si>
  <si>
    <t>마르쿠스</t>
  </si>
  <si>
    <t>제임스</t>
  </si>
  <si>
    <t>니콜</t>
  </si>
  <si>
    <t>cha_a_0006</t>
  </si>
  <si>
    <t>cha_a_0007</t>
  </si>
  <si>
    <t>cha_s_0001</t>
    <phoneticPr fontId="1" type="noConversion"/>
  </si>
  <si>
    <t>option_satk_04</t>
  </si>
  <si>
    <t>option_latk_04</t>
  </si>
  <si>
    <t>option_def_04</t>
  </si>
  <si>
    <t>option_aspd_04</t>
  </si>
  <si>
    <t>option_spd_04</t>
  </si>
  <si>
    <t>option_hp_04</t>
  </si>
  <si>
    <t>cha_0045</t>
  </si>
  <si>
    <t>cha_0043</t>
  </si>
  <si>
    <t>cha_0031</t>
  </si>
  <si>
    <t>icon_item_6045</t>
    <phoneticPr fontId="1" type="noConversion"/>
  </si>
  <si>
    <t>icon_item_6043</t>
    <phoneticPr fontId="1" type="noConversion"/>
  </si>
  <si>
    <t>icon_item_6031</t>
    <phoneticPr fontId="1" type="noConversion"/>
  </si>
  <si>
    <t>pf_blade_04</t>
  </si>
  <si>
    <t>pf_bolt_01</t>
  </si>
  <si>
    <t>pf_blade_07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</si>
</sst>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9" xfId="0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8" xfId="0" applyFont="1" applyFill="1" applyBorder="1">
      <alignment vertical="center"/>
    </xf>
    <xf numFmtId="14" fontId="0" fillId="2" borderId="5" xfId="0" applyNumberFormat="1" applyFill="1" applyBorder="1">
      <alignment vertical="center"/>
    </xf>
    <xf numFmtId="14" fontId="0" fillId="2" borderId="8" xfId="0" applyNumberFormat="1" applyFill="1" applyBorder="1">
      <alignment vertical="center"/>
    </xf>
    <xf numFmtId="14" fontId="0" fillId="2" borderId="20" xfId="0" applyNumberFormat="1" applyFill="1" applyBorder="1">
      <alignment vertical="center"/>
    </xf>
    <xf numFmtId="14" fontId="0" fillId="2" borderId="21" xfId="0" applyNumberFormat="1" applyFill="1" applyBorder="1">
      <alignment vertical="center"/>
    </xf>
    <xf numFmtId="0" fontId="3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23" xfId="0" applyFont="1" applyFill="1" applyBorder="1">
      <alignment vertical="center"/>
    </xf>
    <xf numFmtId="0" fontId="2" fillId="2" borderId="15" xfId="0" applyFont="1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5" xfId="0" applyFont="1" applyFill="1" applyBorder="1">
      <alignment vertical="center"/>
    </xf>
    <xf numFmtId="0" fontId="5" fillId="0" borderId="24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5" fillId="0" borderId="5" xfId="0" applyFont="1" applyBorder="1">
      <alignment vertical="center"/>
    </xf>
    <xf numFmtId="0" fontId="5" fillId="0" borderId="24" xfId="0" applyFont="1" applyBorder="1">
      <alignment vertical="center"/>
    </xf>
    <xf numFmtId="0" fontId="4" fillId="3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2" fillId="2" borderId="26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76"/>
  <sheetViews>
    <sheetView topLeftCell="B1" workbookViewId="0">
      <selection activeCell="B3" sqref="B3"/>
    </sheetView>
  </sheetViews>
  <sheetFormatPr defaultRowHeight="16.5" x14ac:dyDescent="0.3"/>
  <cols>
    <col min="2" max="2" width="15.875" customWidth="1"/>
    <col min="3" max="3" width="10.75" customWidth="1"/>
    <col min="4" max="4" width="80" customWidth="1"/>
  </cols>
  <sheetData>
    <row r="1" spans="1:20" x14ac:dyDescent="0.3">
      <c r="A1" s="13" t="s">
        <v>1</v>
      </c>
      <c r="B1" s="14" t="s">
        <v>2</v>
      </c>
      <c r="C1" s="15" t="s">
        <v>0</v>
      </c>
      <c r="D1" s="16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2">
        <v>1</v>
      </c>
      <c r="B2" s="8">
        <v>42434</v>
      </c>
      <c r="C2" s="10" t="s">
        <v>29</v>
      </c>
      <c r="D2" s="3" t="s">
        <v>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2">
        <v>2</v>
      </c>
      <c r="B3" s="8"/>
      <c r="C3" s="10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2">
        <v>3</v>
      </c>
      <c r="B4" s="8"/>
      <c r="C4" s="10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2">
        <v>4</v>
      </c>
      <c r="B5" s="8"/>
      <c r="C5" s="10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2">
        <v>5</v>
      </c>
      <c r="B6" s="8"/>
      <c r="C6" s="10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2"/>
      <c r="B7" s="8"/>
      <c r="C7" s="10"/>
      <c r="D7" s="2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2"/>
      <c r="B8" s="8"/>
      <c r="C8" s="10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2"/>
      <c r="B9" s="8"/>
      <c r="C9" s="10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2"/>
      <c r="B10" s="8"/>
      <c r="C10" s="10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2"/>
      <c r="B11" s="8"/>
      <c r="C11" s="10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2"/>
      <c r="B12" s="8"/>
      <c r="C12" s="10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2"/>
      <c r="B13" s="8"/>
      <c r="C13" s="10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2"/>
      <c r="B14" s="8"/>
      <c r="C14" s="10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2"/>
      <c r="B15" s="8"/>
      <c r="C15" s="10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2"/>
      <c r="B16" s="8"/>
      <c r="C16" s="10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2"/>
      <c r="B17" s="8"/>
      <c r="C17" s="10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2"/>
      <c r="B18" s="8"/>
      <c r="C18" s="10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2"/>
      <c r="B19" s="8"/>
      <c r="C19" s="10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2"/>
      <c r="B20" s="8"/>
      <c r="C20" s="10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2"/>
      <c r="B21" s="8"/>
      <c r="C21" s="10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2"/>
      <c r="B22" s="8"/>
      <c r="C22" s="10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2"/>
      <c r="B23" s="8"/>
      <c r="C23" s="10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"/>
      <c r="B24" s="8"/>
      <c r="C24" s="10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"/>
      <c r="B25" s="8"/>
      <c r="C25" s="10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"/>
      <c r="B26" s="8"/>
      <c r="C26" s="10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"/>
      <c r="B27" s="8"/>
      <c r="C27" s="10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"/>
      <c r="B28" s="8"/>
      <c r="C28" s="10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"/>
      <c r="B29" s="8"/>
      <c r="C29" s="10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2"/>
      <c r="B30" s="8"/>
      <c r="C30" s="10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2"/>
      <c r="B31" s="8"/>
      <c r="C31" s="10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2"/>
      <c r="B32" s="8"/>
      <c r="C32" s="10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"/>
      <c r="B33" s="8"/>
      <c r="C33" s="10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"/>
      <c r="B34" s="8"/>
      <c r="C34" s="10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"/>
      <c r="B35" s="8"/>
      <c r="C35" s="10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"/>
      <c r="B36" s="8"/>
      <c r="C36" s="10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2"/>
      <c r="B37" s="8"/>
      <c r="C37" s="10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2"/>
      <c r="B38" s="8"/>
      <c r="C38" s="10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2"/>
      <c r="B39" s="8"/>
      <c r="C39" s="10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2"/>
      <c r="B40" s="8"/>
      <c r="C40" s="10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2"/>
      <c r="B41" s="8"/>
      <c r="C41" s="10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2"/>
      <c r="B42" s="8"/>
      <c r="C42" s="10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2"/>
      <c r="B43" s="8"/>
      <c r="C43" s="10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2"/>
      <c r="B44" s="8"/>
      <c r="C44" s="10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2"/>
      <c r="B45" s="8"/>
      <c r="C45" s="10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2"/>
      <c r="B46" s="8"/>
      <c r="C46" s="10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2"/>
      <c r="B47" s="8"/>
      <c r="C47" s="10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7.25" thickBot="1" x14ac:dyDescent="0.35">
      <c r="A48" s="4"/>
      <c r="B48" s="9"/>
      <c r="C48" s="11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58"/>
  <sheetViews>
    <sheetView workbookViewId="0">
      <selection activeCell="B23" sqref="B23:H23"/>
    </sheetView>
  </sheetViews>
  <sheetFormatPr defaultRowHeight="16.5" x14ac:dyDescent="0.3"/>
  <cols>
    <col min="1" max="1" width="4.75" style="24" customWidth="1"/>
    <col min="2" max="2" width="16" style="24" bestFit="1" customWidth="1"/>
    <col min="3" max="3" width="17.25" style="24" bestFit="1" customWidth="1"/>
    <col min="4" max="4" width="9" style="24"/>
    <col min="5" max="5" width="17.875" style="24" bestFit="1" customWidth="1"/>
    <col min="6" max="7" width="9" style="24"/>
    <col min="8" max="8" width="73.875" bestFit="1" customWidth="1"/>
  </cols>
  <sheetData>
    <row r="1" spans="1:16" x14ac:dyDescent="0.3">
      <c r="A1" s="17" t="s">
        <v>4</v>
      </c>
      <c r="B1" s="18" t="s">
        <v>10</v>
      </c>
      <c r="C1" s="18" t="s">
        <v>9</v>
      </c>
      <c r="D1" s="18" t="s">
        <v>5</v>
      </c>
      <c r="E1" s="18" t="s">
        <v>8</v>
      </c>
      <c r="F1" s="18" t="s">
        <v>6</v>
      </c>
      <c r="G1" s="18" t="s">
        <v>7</v>
      </c>
      <c r="H1" s="12" t="s">
        <v>11</v>
      </c>
      <c r="I1" s="1"/>
      <c r="J1" s="1"/>
      <c r="K1" s="1"/>
      <c r="L1" s="1"/>
      <c r="M1" s="1"/>
      <c r="N1" s="1"/>
      <c r="O1" s="1"/>
      <c r="P1" s="1"/>
    </row>
    <row r="2" spans="1:16" x14ac:dyDescent="0.3">
      <c r="A2" s="19">
        <v>1</v>
      </c>
      <c r="B2" s="20" t="s">
        <v>25</v>
      </c>
      <c r="C2" s="20" t="s">
        <v>16</v>
      </c>
      <c r="D2" s="20" t="s">
        <v>13</v>
      </c>
      <c r="E2" s="20">
        <v>1</v>
      </c>
      <c r="F2" s="20">
        <v>1</v>
      </c>
      <c r="G2" s="20">
        <v>99999999</v>
      </c>
      <c r="H2" s="6" t="s">
        <v>38</v>
      </c>
      <c r="I2" s="1"/>
      <c r="J2" s="1"/>
      <c r="K2" s="1"/>
      <c r="L2" s="1"/>
      <c r="M2" s="1"/>
      <c r="N2" s="1"/>
      <c r="O2" s="1"/>
      <c r="P2" s="1"/>
    </row>
    <row r="3" spans="1:16" x14ac:dyDescent="0.3">
      <c r="A3" s="19">
        <v>2</v>
      </c>
      <c r="B3" s="20" t="s">
        <v>21</v>
      </c>
      <c r="C3" s="20" t="s">
        <v>22</v>
      </c>
      <c r="D3" s="20" t="s">
        <v>23</v>
      </c>
      <c r="E3" s="20" t="s">
        <v>20</v>
      </c>
      <c r="F3" s="20">
        <v>0</v>
      </c>
      <c r="G3" s="20">
        <v>0</v>
      </c>
      <c r="H3" s="6" t="s">
        <v>24</v>
      </c>
      <c r="I3" s="1"/>
      <c r="J3" s="1"/>
      <c r="K3" s="1"/>
      <c r="L3" s="1"/>
      <c r="M3" s="1"/>
      <c r="N3" s="1"/>
      <c r="O3" s="1"/>
      <c r="P3" s="1"/>
    </row>
    <row r="4" spans="1:16" x14ac:dyDescent="0.3">
      <c r="A4" s="19">
        <v>3</v>
      </c>
      <c r="B4" s="20" t="s">
        <v>26</v>
      </c>
      <c r="C4" s="20" t="s">
        <v>17</v>
      </c>
      <c r="D4" s="20" t="s">
        <v>14</v>
      </c>
      <c r="E4" s="20" t="s">
        <v>15</v>
      </c>
      <c r="F4" s="20">
        <v>0</v>
      </c>
      <c r="G4" s="20">
        <v>32</v>
      </c>
      <c r="H4" s="6" t="s">
        <v>30</v>
      </c>
      <c r="I4" s="1"/>
      <c r="J4" s="1"/>
      <c r="K4" s="1"/>
      <c r="L4" s="1"/>
      <c r="M4" s="1"/>
      <c r="N4" s="1"/>
      <c r="O4" s="1"/>
      <c r="P4" s="1"/>
    </row>
    <row r="5" spans="1:16" x14ac:dyDescent="0.3">
      <c r="A5" s="19">
        <v>4</v>
      </c>
      <c r="B5" s="20" t="s">
        <v>27</v>
      </c>
      <c r="C5" s="20" t="s">
        <v>18</v>
      </c>
      <c r="D5" s="20" t="s">
        <v>14</v>
      </c>
      <c r="E5" s="20" t="s">
        <v>15</v>
      </c>
      <c r="F5" s="20">
        <v>0</v>
      </c>
      <c r="G5" s="20">
        <v>32</v>
      </c>
      <c r="H5" s="6" t="s">
        <v>31</v>
      </c>
      <c r="I5" s="1"/>
      <c r="J5" s="1"/>
      <c r="K5" s="1"/>
      <c r="L5" s="1"/>
      <c r="M5" s="1"/>
      <c r="N5" s="1"/>
      <c r="O5" s="1"/>
      <c r="P5" s="1"/>
    </row>
    <row r="6" spans="1:16" x14ac:dyDescent="0.3">
      <c r="A6" s="19">
        <v>5</v>
      </c>
      <c r="B6" s="20" t="s">
        <v>28</v>
      </c>
      <c r="C6" s="20" t="s">
        <v>19</v>
      </c>
      <c r="D6" s="20" t="s">
        <v>14</v>
      </c>
      <c r="E6" s="20" t="s">
        <v>15</v>
      </c>
      <c r="F6" s="20">
        <v>0</v>
      </c>
      <c r="G6" s="20">
        <v>32</v>
      </c>
      <c r="H6" s="6" t="s">
        <v>32</v>
      </c>
      <c r="I6" s="1"/>
      <c r="J6" s="1"/>
      <c r="K6" s="1"/>
      <c r="L6" s="1"/>
      <c r="M6" s="1"/>
      <c r="N6" s="1"/>
      <c r="O6" s="1"/>
      <c r="P6" s="1"/>
    </row>
    <row r="7" spans="1:16" x14ac:dyDescent="0.3">
      <c r="A7" s="19">
        <v>6</v>
      </c>
      <c r="B7" s="20" t="s">
        <v>35</v>
      </c>
      <c r="C7" s="20" t="s">
        <v>36</v>
      </c>
      <c r="D7" s="25" t="s">
        <v>13</v>
      </c>
      <c r="E7" s="25">
        <v>1</v>
      </c>
      <c r="F7" s="25">
        <v>1</v>
      </c>
      <c r="G7" s="25">
        <v>5</v>
      </c>
      <c r="H7" s="6" t="s">
        <v>39</v>
      </c>
      <c r="I7" s="1"/>
      <c r="J7" s="1"/>
      <c r="K7" s="1"/>
      <c r="L7" s="1"/>
      <c r="M7" s="1"/>
      <c r="N7" s="1"/>
      <c r="O7" s="1"/>
      <c r="P7" s="1"/>
    </row>
    <row r="8" spans="1:16" x14ac:dyDescent="0.3">
      <c r="A8" s="19">
        <v>7</v>
      </c>
      <c r="B8" s="25" t="s">
        <v>40</v>
      </c>
      <c r="C8" s="25" t="s">
        <v>46</v>
      </c>
      <c r="D8" s="20" t="s">
        <v>13</v>
      </c>
      <c r="E8" s="20">
        <v>0</v>
      </c>
      <c r="F8" s="20">
        <v>0</v>
      </c>
      <c r="G8" s="20">
        <v>100</v>
      </c>
      <c r="H8" s="27" t="s">
        <v>54</v>
      </c>
      <c r="I8" s="1"/>
      <c r="J8" s="1"/>
      <c r="K8" s="1"/>
      <c r="L8" s="1"/>
      <c r="M8" s="1"/>
      <c r="N8" s="1"/>
      <c r="O8" s="1"/>
      <c r="P8" s="1"/>
    </row>
    <row r="9" spans="1:16" x14ac:dyDescent="0.3">
      <c r="A9" s="19">
        <v>8</v>
      </c>
      <c r="B9" s="25" t="s">
        <v>41</v>
      </c>
      <c r="C9" s="25" t="s">
        <v>48</v>
      </c>
      <c r="D9" s="20" t="s">
        <v>13</v>
      </c>
      <c r="E9" s="20">
        <v>0</v>
      </c>
      <c r="F9" s="20">
        <v>0</v>
      </c>
      <c r="G9" s="20">
        <v>100</v>
      </c>
      <c r="H9" s="26" t="s">
        <v>55</v>
      </c>
      <c r="I9" s="1"/>
      <c r="J9" s="1"/>
      <c r="K9" s="1"/>
      <c r="L9" s="1"/>
      <c r="M9" s="1"/>
      <c r="N9" s="1"/>
      <c r="O9" s="1"/>
      <c r="P9" s="1"/>
    </row>
    <row r="10" spans="1:16" x14ac:dyDescent="0.3">
      <c r="A10" s="19">
        <v>9</v>
      </c>
      <c r="B10" s="25" t="s">
        <v>42</v>
      </c>
      <c r="C10" s="25" t="s">
        <v>49</v>
      </c>
      <c r="D10" s="20" t="s">
        <v>13</v>
      </c>
      <c r="E10" s="20">
        <v>0</v>
      </c>
      <c r="F10" s="20">
        <v>0</v>
      </c>
      <c r="G10" s="20">
        <v>100</v>
      </c>
      <c r="H10" s="26" t="s">
        <v>56</v>
      </c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9">
        <v>10</v>
      </c>
      <c r="B11" s="25" t="s">
        <v>43</v>
      </c>
      <c r="C11" s="25" t="s">
        <v>51</v>
      </c>
      <c r="D11" s="20" t="s">
        <v>13</v>
      </c>
      <c r="E11" s="20">
        <v>0</v>
      </c>
      <c r="F11" s="20">
        <v>0</v>
      </c>
      <c r="G11" s="20">
        <v>100</v>
      </c>
      <c r="H11" s="26" t="s">
        <v>57</v>
      </c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9">
        <v>11</v>
      </c>
      <c r="B12" s="25" t="s">
        <v>44</v>
      </c>
      <c r="C12" s="25" t="s">
        <v>53</v>
      </c>
      <c r="D12" s="20" t="s">
        <v>13</v>
      </c>
      <c r="E12" s="20">
        <v>0</v>
      </c>
      <c r="F12" s="20">
        <v>0</v>
      </c>
      <c r="G12" s="20">
        <v>100</v>
      </c>
      <c r="H12" s="26" t="s">
        <v>58</v>
      </c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9">
        <v>12</v>
      </c>
      <c r="B13" s="25" t="s">
        <v>40</v>
      </c>
      <c r="C13" s="25" t="s">
        <v>60</v>
      </c>
      <c r="D13" s="20" t="s">
        <v>13</v>
      </c>
      <c r="E13" s="20">
        <v>0</v>
      </c>
      <c r="F13" s="20">
        <v>0</v>
      </c>
      <c r="G13" s="20">
        <v>100</v>
      </c>
      <c r="H13" s="27" t="s">
        <v>69</v>
      </c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9">
        <v>13</v>
      </c>
      <c r="B14" s="25" t="s">
        <v>41</v>
      </c>
      <c r="C14" s="25" t="s">
        <v>62</v>
      </c>
      <c r="D14" s="20" t="s">
        <v>13</v>
      </c>
      <c r="E14" s="20">
        <v>0</v>
      </c>
      <c r="F14" s="20">
        <v>0</v>
      </c>
      <c r="G14" s="20">
        <v>100</v>
      </c>
      <c r="H14" s="26" t="s">
        <v>70</v>
      </c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9">
        <v>14</v>
      </c>
      <c r="B15" s="25" t="s">
        <v>42</v>
      </c>
      <c r="C15" s="25" t="s">
        <v>64</v>
      </c>
      <c r="D15" s="20" t="s">
        <v>13</v>
      </c>
      <c r="E15" s="20">
        <v>0</v>
      </c>
      <c r="F15" s="20">
        <v>0</v>
      </c>
      <c r="G15" s="20">
        <v>100</v>
      </c>
      <c r="H15" s="26" t="s">
        <v>71</v>
      </c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9">
        <v>15</v>
      </c>
      <c r="B16" s="25" t="s">
        <v>43</v>
      </c>
      <c r="C16" s="25" t="s">
        <v>66</v>
      </c>
      <c r="D16" s="20" t="s">
        <v>13</v>
      </c>
      <c r="E16" s="20">
        <v>0</v>
      </c>
      <c r="F16" s="20">
        <v>0</v>
      </c>
      <c r="G16" s="20">
        <v>100</v>
      </c>
      <c r="H16" s="26" t="s">
        <v>72</v>
      </c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9">
        <v>16</v>
      </c>
      <c r="B17" s="25" t="s">
        <v>44</v>
      </c>
      <c r="C17" s="25" t="s">
        <v>68</v>
      </c>
      <c r="D17" s="20" t="s">
        <v>13</v>
      </c>
      <c r="E17" s="20">
        <v>0</v>
      </c>
      <c r="F17" s="20">
        <v>0</v>
      </c>
      <c r="G17" s="20">
        <v>100</v>
      </c>
      <c r="H17" s="26" t="s">
        <v>73</v>
      </c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9">
        <v>17</v>
      </c>
      <c r="B18" s="25" t="s">
        <v>131</v>
      </c>
      <c r="C18" s="25" t="s">
        <v>132</v>
      </c>
      <c r="D18" s="25" t="s">
        <v>133</v>
      </c>
      <c r="E18" s="25">
        <v>6</v>
      </c>
      <c r="F18" s="25">
        <v>1</v>
      </c>
      <c r="G18" s="20">
        <v>6</v>
      </c>
      <c r="H18" s="26" t="s">
        <v>143</v>
      </c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9">
        <v>18</v>
      </c>
      <c r="B19" s="25" t="s">
        <v>134</v>
      </c>
      <c r="C19" s="25" t="s">
        <v>135</v>
      </c>
      <c r="D19" s="25" t="s">
        <v>136</v>
      </c>
      <c r="E19" s="25" t="s">
        <v>137</v>
      </c>
      <c r="F19" s="25">
        <v>0</v>
      </c>
      <c r="G19" s="20">
        <v>32</v>
      </c>
      <c r="H19" s="26" t="s">
        <v>138</v>
      </c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9">
        <v>19</v>
      </c>
      <c r="B20" s="25" t="s">
        <v>139</v>
      </c>
      <c r="C20" s="25" t="s">
        <v>140</v>
      </c>
      <c r="D20" s="25" t="s">
        <v>141</v>
      </c>
      <c r="E20" s="25" t="s">
        <v>142</v>
      </c>
      <c r="F20" s="25">
        <v>0</v>
      </c>
      <c r="G20" s="20">
        <v>0</v>
      </c>
      <c r="H20" s="26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9">
        <v>20</v>
      </c>
      <c r="B21" s="25" t="s">
        <v>74</v>
      </c>
      <c r="C21" s="25" t="s">
        <v>76</v>
      </c>
      <c r="D21" s="20" t="s">
        <v>14</v>
      </c>
      <c r="E21" s="20" t="s">
        <v>15</v>
      </c>
      <c r="F21" s="20">
        <v>0</v>
      </c>
      <c r="G21" s="20">
        <v>32</v>
      </c>
      <c r="H21" s="26" t="s">
        <v>77</v>
      </c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9">
        <v>21</v>
      </c>
      <c r="B22" s="25" t="s">
        <v>87</v>
      </c>
      <c r="C22" s="25" t="s">
        <v>37</v>
      </c>
      <c r="D22" s="20" t="s">
        <v>14</v>
      </c>
      <c r="E22" s="20" t="s">
        <v>15</v>
      </c>
      <c r="F22" s="20">
        <v>0</v>
      </c>
      <c r="G22" s="20">
        <v>32</v>
      </c>
      <c r="H22" s="26" t="s">
        <v>88</v>
      </c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42">
        <v>22</v>
      </c>
      <c r="B23" s="25" t="s">
        <v>236</v>
      </c>
      <c r="C23" s="25" t="s">
        <v>237</v>
      </c>
      <c r="D23" s="25" t="s">
        <v>238</v>
      </c>
      <c r="E23" s="20" t="s">
        <v>15</v>
      </c>
      <c r="F23" s="20">
        <v>0</v>
      </c>
      <c r="G23" s="20">
        <v>32</v>
      </c>
      <c r="H23" s="26" t="s">
        <v>239</v>
      </c>
      <c r="I23" s="1"/>
      <c r="J23" s="1"/>
      <c r="K23" s="1"/>
      <c r="L23" s="1"/>
      <c r="M23" s="1"/>
      <c r="N23" s="1"/>
      <c r="O23" s="1"/>
      <c r="P23" s="1"/>
    </row>
    <row r="24" spans="1:16" ht="17.25" thickBot="1" x14ac:dyDescent="0.35">
      <c r="A24" s="21"/>
      <c r="B24" s="22"/>
      <c r="C24" s="22"/>
      <c r="D24" s="22"/>
      <c r="E24" s="22"/>
      <c r="F24" s="22"/>
      <c r="G24" s="22"/>
      <c r="H24" s="7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23"/>
      <c r="B25" s="23"/>
      <c r="C25" s="23"/>
      <c r="D25" s="23"/>
      <c r="E25" s="23"/>
      <c r="F25" s="23"/>
      <c r="G25" s="23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23"/>
      <c r="B26" s="23"/>
      <c r="C26" s="23"/>
      <c r="D26" s="23"/>
      <c r="E26" s="23"/>
      <c r="F26" s="23"/>
      <c r="G26" s="23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23"/>
      <c r="B27" s="23"/>
      <c r="C27" s="23"/>
      <c r="D27" s="23"/>
      <c r="E27" s="23"/>
      <c r="F27" s="23"/>
      <c r="G27" s="23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23"/>
      <c r="B28" s="23"/>
      <c r="C28" s="23"/>
      <c r="D28" s="23"/>
      <c r="E28" s="23"/>
      <c r="F28" s="23"/>
      <c r="G28" s="23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23"/>
      <c r="B29" s="23"/>
      <c r="C29" s="23"/>
      <c r="D29" s="23"/>
      <c r="E29" s="23"/>
      <c r="F29" s="23"/>
      <c r="G29" s="23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23"/>
      <c r="B30" s="23"/>
      <c r="C30" s="23"/>
      <c r="D30" s="23"/>
      <c r="E30" s="23"/>
      <c r="F30" s="23"/>
      <c r="G30" s="23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23"/>
      <c r="B31" s="23"/>
      <c r="C31" s="23"/>
      <c r="D31" s="23"/>
      <c r="E31" s="23"/>
      <c r="F31" s="23"/>
      <c r="G31" s="23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23"/>
      <c r="B32" s="23"/>
      <c r="C32" s="23"/>
      <c r="D32" s="23"/>
      <c r="E32" s="23"/>
      <c r="F32" s="23"/>
      <c r="G32" s="23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23"/>
      <c r="B33" s="23"/>
      <c r="C33" s="23"/>
      <c r="D33" s="23"/>
      <c r="E33" s="23"/>
      <c r="F33" s="23"/>
      <c r="G33" s="23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23"/>
      <c r="B34" s="23"/>
      <c r="C34" s="23"/>
      <c r="D34" s="23"/>
      <c r="E34" s="23"/>
      <c r="F34" s="23"/>
      <c r="G34" s="23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23"/>
      <c r="B35" s="23"/>
      <c r="C35" s="23"/>
      <c r="D35" s="23"/>
      <c r="E35" s="23"/>
      <c r="F35" s="23"/>
      <c r="G35" s="23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23"/>
      <c r="B36" s="23"/>
      <c r="C36" s="23"/>
      <c r="D36" s="23"/>
      <c r="E36" s="23"/>
      <c r="F36" s="23"/>
      <c r="G36" s="23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23"/>
      <c r="B37" s="23"/>
      <c r="C37" s="23"/>
      <c r="D37" s="23"/>
      <c r="E37" s="23"/>
      <c r="F37" s="23"/>
      <c r="G37" s="23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23"/>
      <c r="B38" s="23"/>
      <c r="C38" s="23"/>
      <c r="D38" s="23"/>
      <c r="E38" s="23"/>
      <c r="F38" s="23"/>
      <c r="G38" s="23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23"/>
      <c r="B39" s="23"/>
      <c r="C39" s="23"/>
      <c r="D39" s="23"/>
      <c r="E39" s="23"/>
      <c r="F39" s="23"/>
      <c r="G39" s="23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23"/>
      <c r="B40" s="23"/>
      <c r="C40" s="23"/>
      <c r="D40" s="23"/>
      <c r="E40" s="23"/>
      <c r="F40" s="23"/>
      <c r="G40" s="23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23"/>
      <c r="B41" s="23"/>
      <c r="C41" s="23"/>
      <c r="D41" s="23"/>
      <c r="E41" s="23"/>
      <c r="F41" s="23"/>
      <c r="G41" s="23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23"/>
      <c r="B42" s="23"/>
      <c r="C42" s="23"/>
      <c r="D42" s="23"/>
      <c r="E42" s="23"/>
      <c r="F42" s="23"/>
      <c r="G42" s="23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23"/>
      <c r="B43" s="23"/>
      <c r="C43" s="23"/>
      <c r="D43" s="23"/>
      <c r="E43" s="23"/>
      <c r="F43" s="23"/>
      <c r="G43" s="23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23"/>
      <c r="B44" s="23"/>
      <c r="C44" s="23"/>
      <c r="D44" s="23"/>
      <c r="E44" s="23"/>
      <c r="F44" s="23"/>
      <c r="G44" s="23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23"/>
      <c r="B45" s="23"/>
      <c r="C45" s="23"/>
      <c r="D45" s="23"/>
      <c r="E45" s="23"/>
      <c r="F45" s="23"/>
      <c r="G45" s="23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23"/>
      <c r="B46" s="23"/>
      <c r="C46" s="23"/>
      <c r="D46" s="23"/>
      <c r="E46" s="23"/>
      <c r="F46" s="23"/>
      <c r="G46" s="23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23"/>
      <c r="B47" s="23"/>
      <c r="C47" s="23"/>
      <c r="D47" s="23"/>
      <c r="E47" s="23"/>
      <c r="F47" s="23"/>
      <c r="G47" s="23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23"/>
      <c r="B48" s="23"/>
      <c r="C48" s="23"/>
      <c r="D48" s="23"/>
      <c r="E48" s="23"/>
      <c r="F48" s="23"/>
      <c r="G48" s="23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">
      <c r="A49" s="23"/>
      <c r="B49" s="23"/>
      <c r="C49" s="23"/>
      <c r="D49" s="23"/>
      <c r="E49" s="23"/>
      <c r="F49" s="23"/>
      <c r="G49" s="23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23"/>
      <c r="B50" s="23"/>
      <c r="C50" s="23"/>
      <c r="D50" s="23"/>
      <c r="E50" s="23"/>
      <c r="F50" s="23"/>
      <c r="G50" s="23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23"/>
      <c r="B51" s="23"/>
      <c r="C51" s="23"/>
      <c r="D51" s="23"/>
      <c r="E51" s="23"/>
      <c r="F51" s="23"/>
      <c r="G51" s="23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">
      <c r="A52" s="23"/>
      <c r="B52" s="23"/>
      <c r="C52" s="23"/>
      <c r="D52" s="23"/>
      <c r="E52" s="23"/>
      <c r="F52" s="23"/>
      <c r="G52" s="23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">
      <c r="A53" s="23"/>
      <c r="B53" s="23"/>
      <c r="C53" s="23"/>
      <c r="D53" s="23"/>
      <c r="E53" s="23"/>
      <c r="F53" s="23"/>
      <c r="G53" s="23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">
      <c r="A54" s="23"/>
      <c r="B54" s="23"/>
      <c r="C54" s="23"/>
      <c r="D54" s="23"/>
      <c r="E54" s="23"/>
      <c r="F54" s="23"/>
      <c r="G54" s="23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">
      <c r="A55" s="23"/>
      <c r="B55" s="23"/>
      <c r="C55" s="23"/>
      <c r="D55" s="23"/>
      <c r="E55" s="23"/>
      <c r="F55" s="23"/>
      <c r="G55" s="23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">
      <c r="A56" s="23"/>
      <c r="B56" s="23"/>
      <c r="C56" s="23"/>
      <c r="D56" s="23"/>
      <c r="E56" s="23"/>
      <c r="F56" s="23"/>
      <c r="G56" s="23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">
      <c r="A57" s="23"/>
      <c r="B57" s="23"/>
      <c r="C57" s="23"/>
      <c r="D57" s="23"/>
      <c r="E57" s="23"/>
      <c r="F57" s="23"/>
      <c r="G57" s="23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3">
      <c r="A58" s="23"/>
      <c r="B58" s="23"/>
      <c r="C58" s="23"/>
      <c r="D58" s="23"/>
      <c r="E58" s="23"/>
      <c r="F58" s="23"/>
      <c r="G58" s="23"/>
      <c r="H58" s="1"/>
      <c r="I58" s="1"/>
      <c r="J58" s="1"/>
      <c r="K58" s="1"/>
      <c r="L58" s="1"/>
      <c r="M58" s="1"/>
      <c r="N58" s="1"/>
      <c r="O58" s="1"/>
      <c r="P58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26"/>
  <sheetViews>
    <sheetView tabSelected="1" workbookViewId="0">
      <pane ySplit="1" topLeftCell="A2" activePane="bottomLeft" state="frozen"/>
      <selection activeCell="E1" sqref="E1"/>
      <selection pane="bottomLeft" activeCell="O28" sqref="O28"/>
    </sheetView>
  </sheetViews>
  <sheetFormatPr defaultRowHeight="16.5" x14ac:dyDescent="0.3"/>
  <cols>
    <col min="1" max="1" width="6.5" style="36" bestFit="1" customWidth="1"/>
    <col min="2" max="2" width="19.5" style="36" bestFit="1" customWidth="1"/>
    <col min="3" max="3" width="20.75" style="37" bestFit="1" customWidth="1"/>
    <col min="4" max="5" width="27.625" style="36" bestFit="1" customWidth="1"/>
    <col min="6" max="9" width="6.125" style="36" bestFit="1" customWidth="1"/>
    <col min="10" max="10" width="7.5" style="36" bestFit="1" customWidth="1"/>
    <col min="11" max="11" width="8.375" style="36" bestFit="1" customWidth="1"/>
    <col min="12" max="12" width="13.25" style="36" bestFit="1" customWidth="1"/>
    <col min="13" max="13" width="12.25" style="36" bestFit="1" customWidth="1"/>
    <col min="14" max="14" width="11.875" style="36" bestFit="1" customWidth="1"/>
    <col min="15" max="15" width="12.875" style="36" bestFit="1" customWidth="1"/>
    <col min="16" max="16" width="12.25" style="36" bestFit="1" customWidth="1"/>
    <col min="17" max="21" width="12.25" style="36" customWidth="1"/>
    <col min="22" max="22" width="18.375" style="36" customWidth="1"/>
    <col min="23" max="25" width="18.375" style="36" bestFit="1" customWidth="1"/>
    <col min="26" max="16384" width="9" style="32"/>
  </cols>
  <sheetData>
    <row r="1" spans="1:25" x14ac:dyDescent="0.3">
      <c r="A1" s="29" t="s">
        <v>16</v>
      </c>
      <c r="B1" s="29" t="s">
        <v>22</v>
      </c>
      <c r="C1" s="30" t="s">
        <v>9</v>
      </c>
      <c r="D1" s="29" t="s">
        <v>18</v>
      </c>
      <c r="E1" s="29" t="s">
        <v>19</v>
      </c>
      <c r="F1" s="31" t="s">
        <v>33</v>
      </c>
      <c r="G1" s="38" t="s">
        <v>45</v>
      </c>
      <c r="H1" s="38" t="s">
        <v>47</v>
      </c>
      <c r="I1" s="38" t="s">
        <v>83</v>
      </c>
      <c r="J1" s="38" t="s">
        <v>50</v>
      </c>
      <c r="K1" s="38" t="s">
        <v>52</v>
      </c>
      <c r="L1" s="38" t="s">
        <v>59</v>
      </c>
      <c r="M1" s="38" t="s">
        <v>61</v>
      </c>
      <c r="N1" s="38" t="s">
        <v>63</v>
      </c>
      <c r="O1" s="38" t="s">
        <v>65</v>
      </c>
      <c r="P1" s="38" t="s">
        <v>67</v>
      </c>
      <c r="Q1" s="38" t="s">
        <v>144</v>
      </c>
      <c r="R1" s="38" t="s">
        <v>145</v>
      </c>
      <c r="S1" s="38" t="s">
        <v>146</v>
      </c>
      <c r="T1" s="38" t="s">
        <v>147</v>
      </c>
      <c r="U1" s="38" t="s">
        <v>148</v>
      </c>
      <c r="V1" s="38" t="s">
        <v>154</v>
      </c>
      <c r="W1" s="38" t="s">
        <v>75</v>
      </c>
      <c r="X1" s="38" t="s">
        <v>84</v>
      </c>
      <c r="Y1" s="38" t="s">
        <v>240</v>
      </c>
    </row>
    <row r="2" spans="1:25" x14ac:dyDescent="0.3">
      <c r="A2" s="33">
        <v>10000</v>
      </c>
      <c r="B2" s="34" t="s">
        <v>129</v>
      </c>
      <c r="C2" s="35" t="s">
        <v>80</v>
      </c>
      <c r="D2" s="33" t="str">
        <f>"STR_"&amp;UPPER(C2)</f>
        <v>STR_CHA_N_0001</v>
      </c>
      <c r="E2" s="33" t="str">
        <f>D2&amp;"_DESC"</f>
        <v>STR_CHA_N_0001_DESC</v>
      </c>
      <c r="F2" s="33">
        <v>1</v>
      </c>
      <c r="G2" s="33">
        <v>13</v>
      </c>
      <c r="H2" s="33">
        <v>13</v>
      </c>
      <c r="I2" s="33">
        <v>13</v>
      </c>
      <c r="J2" s="33">
        <v>13</v>
      </c>
      <c r="K2" s="33">
        <v>3</v>
      </c>
      <c r="L2" s="33">
        <v>0</v>
      </c>
      <c r="M2" s="33">
        <v>0</v>
      </c>
      <c r="N2" s="33">
        <v>0</v>
      </c>
      <c r="O2" s="33">
        <v>0</v>
      </c>
      <c r="P2" s="33">
        <v>0</v>
      </c>
      <c r="Q2" s="33"/>
      <c r="R2" s="33"/>
      <c r="S2" s="33"/>
      <c r="T2" s="33"/>
      <c r="U2" s="33"/>
      <c r="V2" s="33"/>
      <c r="W2" s="36" t="s">
        <v>170</v>
      </c>
      <c r="X2" s="36" t="s">
        <v>166</v>
      </c>
      <c r="Y2" s="36" t="s">
        <v>241</v>
      </c>
    </row>
    <row r="3" spans="1:25" x14ac:dyDescent="0.3">
      <c r="A3" s="33">
        <v>10001</v>
      </c>
      <c r="B3" s="34" t="s">
        <v>130</v>
      </c>
      <c r="C3" s="35" t="s">
        <v>81</v>
      </c>
      <c r="D3" s="33" t="str">
        <f t="shared" ref="D3:D4" si="0">"STR_"&amp;UPPER(C3)</f>
        <v>STR_CHA_N_0002</v>
      </c>
      <c r="E3" s="33" t="str">
        <f t="shared" ref="E3:E4" si="1">D3&amp;"_DESC"</f>
        <v>STR_CHA_N_0002_DESC</v>
      </c>
      <c r="F3" s="33">
        <v>1</v>
      </c>
      <c r="G3" s="33">
        <v>13</v>
      </c>
      <c r="H3" s="33">
        <v>13</v>
      </c>
      <c r="I3" s="33">
        <v>13</v>
      </c>
      <c r="J3" s="33">
        <v>13</v>
      </c>
      <c r="K3" s="33">
        <v>3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/>
      <c r="R3" s="33"/>
      <c r="S3" s="33"/>
      <c r="T3" s="33"/>
      <c r="U3" s="33"/>
      <c r="V3" s="33" t="s">
        <v>34</v>
      </c>
      <c r="W3" s="36" t="s">
        <v>79</v>
      </c>
      <c r="X3" s="36" t="s">
        <v>86</v>
      </c>
      <c r="Y3" s="36" t="s">
        <v>241</v>
      </c>
    </row>
    <row r="4" spans="1:25" x14ac:dyDescent="0.3">
      <c r="A4" s="33">
        <v>10002</v>
      </c>
      <c r="B4" s="34" t="s">
        <v>216</v>
      </c>
      <c r="C4" s="35" t="s">
        <v>107</v>
      </c>
      <c r="D4" s="33" t="str">
        <f t="shared" si="0"/>
        <v>STR_CHA_D_0001</v>
      </c>
      <c r="E4" s="33" t="str">
        <f t="shared" si="1"/>
        <v>STR_CHA_D_0001_DESC</v>
      </c>
      <c r="F4" s="33">
        <v>1</v>
      </c>
      <c r="G4" s="33">
        <v>13</v>
      </c>
      <c r="H4" s="33">
        <v>13</v>
      </c>
      <c r="I4" s="33">
        <v>13</v>
      </c>
      <c r="J4" s="33">
        <v>13</v>
      </c>
      <c r="K4" s="33">
        <v>3</v>
      </c>
      <c r="L4" s="33">
        <v>1</v>
      </c>
      <c r="M4" s="33">
        <v>1</v>
      </c>
      <c r="N4" s="33">
        <v>1</v>
      </c>
      <c r="O4" s="33">
        <v>1</v>
      </c>
      <c r="P4" s="33">
        <v>1</v>
      </c>
      <c r="Q4" s="33"/>
      <c r="R4" s="33"/>
      <c r="S4" s="33"/>
      <c r="T4" s="33"/>
      <c r="U4" s="33"/>
      <c r="V4" s="33"/>
      <c r="W4" s="36" t="s">
        <v>171</v>
      </c>
      <c r="X4" s="36" t="s">
        <v>188</v>
      </c>
      <c r="Y4" s="36" t="s">
        <v>241</v>
      </c>
    </row>
    <row r="5" spans="1:25" x14ac:dyDescent="0.3">
      <c r="A5" s="33">
        <v>10003</v>
      </c>
      <c r="B5" s="36" t="s">
        <v>217</v>
      </c>
      <c r="C5" s="37" t="s">
        <v>106</v>
      </c>
      <c r="D5" s="33" t="str">
        <f t="shared" ref="D5:D18" si="2">"STR_"&amp;UPPER(C5)</f>
        <v>STR_CHA_D_0002</v>
      </c>
      <c r="E5" s="33" t="str">
        <f t="shared" ref="E5:E18" si="3">D5&amp;"_DESC"</f>
        <v>STR_CHA_D_0002_DESC</v>
      </c>
      <c r="F5" s="36">
        <v>1</v>
      </c>
      <c r="G5" s="36">
        <v>18</v>
      </c>
      <c r="H5" s="36">
        <v>8</v>
      </c>
      <c r="I5" s="36">
        <v>10</v>
      </c>
      <c r="J5" s="36">
        <v>16</v>
      </c>
      <c r="K5" s="36">
        <v>3</v>
      </c>
      <c r="L5" s="33">
        <v>1</v>
      </c>
      <c r="M5" s="33">
        <v>1</v>
      </c>
      <c r="N5" s="33">
        <v>1</v>
      </c>
      <c r="O5" s="33">
        <v>1</v>
      </c>
      <c r="P5" s="33">
        <v>1</v>
      </c>
      <c r="Q5" s="33"/>
      <c r="R5" s="33"/>
      <c r="S5" s="33"/>
      <c r="T5" s="33"/>
      <c r="U5" s="33"/>
      <c r="W5" s="36" t="s">
        <v>169</v>
      </c>
      <c r="X5" s="36" t="s">
        <v>189</v>
      </c>
      <c r="Y5" s="36" t="s">
        <v>241</v>
      </c>
    </row>
    <row r="6" spans="1:25" x14ac:dyDescent="0.3">
      <c r="A6" s="33">
        <v>10004</v>
      </c>
      <c r="B6" s="36" t="s">
        <v>218</v>
      </c>
      <c r="C6" s="37" t="s">
        <v>109</v>
      </c>
      <c r="D6" s="33" t="str">
        <f t="shared" si="2"/>
        <v>STR_CHA_D_0003</v>
      </c>
      <c r="E6" s="33" t="str">
        <f t="shared" si="3"/>
        <v>STR_CHA_D_0003_DESC</v>
      </c>
      <c r="F6" s="36">
        <v>1</v>
      </c>
      <c r="G6" s="36">
        <v>8</v>
      </c>
      <c r="H6" s="36">
        <v>18</v>
      </c>
      <c r="I6" s="36">
        <v>16</v>
      </c>
      <c r="J6" s="36">
        <v>10</v>
      </c>
      <c r="K6" s="36">
        <v>3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/>
      <c r="R6" s="33"/>
      <c r="S6" s="33"/>
      <c r="T6" s="33"/>
      <c r="U6" s="33"/>
      <c r="W6" s="36" t="s">
        <v>172</v>
      </c>
      <c r="X6" s="36" t="s">
        <v>190</v>
      </c>
      <c r="Y6" s="36" t="s">
        <v>242</v>
      </c>
    </row>
    <row r="7" spans="1:25" x14ac:dyDescent="0.3">
      <c r="A7" s="33">
        <v>10005</v>
      </c>
      <c r="B7" s="36" t="s">
        <v>219</v>
      </c>
      <c r="C7" s="37" t="s">
        <v>110</v>
      </c>
      <c r="D7" s="33" t="str">
        <f t="shared" si="2"/>
        <v>STR_CHA_D_0004</v>
      </c>
      <c r="E7" s="33" t="str">
        <f t="shared" si="3"/>
        <v>STR_CHA_D_0004_DESC</v>
      </c>
      <c r="F7" s="36">
        <v>1</v>
      </c>
      <c r="G7" s="36">
        <v>10</v>
      </c>
      <c r="H7" s="36">
        <v>16</v>
      </c>
      <c r="I7" s="36">
        <v>18</v>
      </c>
      <c r="J7" s="36">
        <v>8</v>
      </c>
      <c r="K7" s="36">
        <v>3</v>
      </c>
      <c r="L7" s="33">
        <v>1</v>
      </c>
      <c r="M7" s="33">
        <v>1</v>
      </c>
      <c r="N7" s="33">
        <v>1</v>
      </c>
      <c r="O7" s="33">
        <v>1</v>
      </c>
      <c r="P7" s="33">
        <v>1</v>
      </c>
      <c r="Q7" s="33"/>
      <c r="R7" s="33"/>
      <c r="S7" s="33"/>
      <c r="T7" s="33"/>
      <c r="U7" s="33"/>
      <c r="W7" s="36" t="s">
        <v>173</v>
      </c>
      <c r="X7" s="36" t="s">
        <v>191</v>
      </c>
      <c r="Y7" s="36" t="s">
        <v>243</v>
      </c>
    </row>
    <row r="8" spans="1:25" x14ac:dyDescent="0.3">
      <c r="A8" s="33">
        <v>10006</v>
      </c>
      <c r="B8" s="36" t="s">
        <v>220</v>
      </c>
      <c r="C8" s="37" t="s">
        <v>111</v>
      </c>
      <c r="D8" s="33" t="str">
        <f t="shared" si="2"/>
        <v>STR_CHA_D_0005</v>
      </c>
      <c r="E8" s="33" t="str">
        <f t="shared" si="3"/>
        <v>STR_CHA_D_0005_DESC</v>
      </c>
      <c r="F8" s="36">
        <v>1</v>
      </c>
      <c r="G8" s="36">
        <v>16</v>
      </c>
      <c r="H8" s="36">
        <v>10</v>
      </c>
      <c r="I8" s="36">
        <v>8</v>
      </c>
      <c r="J8" s="36">
        <v>18</v>
      </c>
      <c r="K8" s="36">
        <v>3</v>
      </c>
      <c r="L8" s="33">
        <v>1</v>
      </c>
      <c r="M8" s="33">
        <v>1</v>
      </c>
      <c r="N8" s="33">
        <v>1</v>
      </c>
      <c r="O8" s="33">
        <v>1</v>
      </c>
      <c r="P8" s="33">
        <v>1</v>
      </c>
      <c r="Q8" s="33"/>
      <c r="R8" s="33"/>
      <c r="S8" s="33"/>
      <c r="T8" s="33"/>
      <c r="U8" s="33"/>
      <c r="W8" s="36" t="s">
        <v>174</v>
      </c>
      <c r="X8" s="36" t="s">
        <v>192</v>
      </c>
      <c r="Y8" s="36" t="s">
        <v>241</v>
      </c>
    </row>
    <row r="9" spans="1:25" x14ac:dyDescent="0.3">
      <c r="A9" s="33">
        <v>10007</v>
      </c>
      <c r="B9" s="34" t="s">
        <v>221</v>
      </c>
      <c r="C9" s="37" t="s">
        <v>112</v>
      </c>
      <c r="D9" s="33" t="str">
        <f t="shared" si="2"/>
        <v>STR_CHA_C_0001</v>
      </c>
      <c r="E9" s="33" t="str">
        <f t="shared" si="3"/>
        <v>STR_CHA_C_0001_DESC</v>
      </c>
      <c r="F9" s="36">
        <v>2</v>
      </c>
      <c r="G9" s="36">
        <v>16</v>
      </c>
      <c r="H9" s="36">
        <v>16</v>
      </c>
      <c r="I9" s="36">
        <v>16</v>
      </c>
      <c r="J9" s="36">
        <v>16</v>
      </c>
      <c r="K9" s="36">
        <v>6</v>
      </c>
      <c r="L9" s="33">
        <v>1</v>
      </c>
      <c r="M9" s="33">
        <v>1</v>
      </c>
      <c r="N9" s="33">
        <v>1</v>
      </c>
      <c r="O9" s="33">
        <v>1</v>
      </c>
      <c r="P9" s="33">
        <v>1</v>
      </c>
      <c r="Q9" s="33" t="s">
        <v>149</v>
      </c>
      <c r="R9" s="33" t="s">
        <v>150</v>
      </c>
      <c r="S9" s="33" t="s">
        <v>151</v>
      </c>
      <c r="T9" s="33" t="s">
        <v>152</v>
      </c>
      <c r="U9" s="33" t="s">
        <v>153</v>
      </c>
      <c r="V9" s="33" t="s">
        <v>155</v>
      </c>
      <c r="W9" s="36" t="s">
        <v>175</v>
      </c>
      <c r="X9" s="36" t="s">
        <v>193</v>
      </c>
      <c r="Y9" s="36" t="s">
        <v>241</v>
      </c>
    </row>
    <row r="10" spans="1:25" x14ac:dyDescent="0.3">
      <c r="A10" s="33">
        <v>10008</v>
      </c>
      <c r="B10" s="36" t="s">
        <v>222</v>
      </c>
      <c r="C10" s="37" t="s">
        <v>114</v>
      </c>
      <c r="D10" s="33" t="str">
        <f t="shared" si="2"/>
        <v>STR_CHA_C_0002</v>
      </c>
      <c r="E10" s="33" t="str">
        <f t="shared" si="3"/>
        <v>STR_CHA_C_0002_DESC</v>
      </c>
      <c r="F10" s="36">
        <v>2</v>
      </c>
      <c r="G10" s="36">
        <v>20</v>
      </c>
      <c r="H10" s="36">
        <v>12</v>
      </c>
      <c r="I10" s="36">
        <v>14</v>
      </c>
      <c r="J10" s="36">
        <v>18</v>
      </c>
      <c r="K10" s="36">
        <v>6</v>
      </c>
      <c r="L10" s="33">
        <v>1</v>
      </c>
      <c r="M10" s="33">
        <v>1</v>
      </c>
      <c r="N10" s="33">
        <v>1</v>
      </c>
      <c r="O10" s="33">
        <v>1</v>
      </c>
      <c r="P10" s="33">
        <v>1</v>
      </c>
      <c r="Q10" s="33" t="s">
        <v>149</v>
      </c>
      <c r="R10" s="33" t="s">
        <v>150</v>
      </c>
      <c r="S10" s="33" t="s">
        <v>151</v>
      </c>
      <c r="T10" s="33" t="s">
        <v>152</v>
      </c>
      <c r="U10" s="33" t="s">
        <v>153</v>
      </c>
      <c r="V10" s="33" t="s">
        <v>155</v>
      </c>
      <c r="W10" s="36" t="s">
        <v>176</v>
      </c>
      <c r="X10" s="36" t="s">
        <v>194</v>
      </c>
      <c r="Y10" s="36" t="s">
        <v>241</v>
      </c>
    </row>
    <row r="11" spans="1:25" x14ac:dyDescent="0.3">
      <c r="A11" s="33">
        <v>10009</v>
      </c>
      <c r="B11" s="36" t="s">
        <v>223</v>
      </c>
      <c r="C11" s="37" t="s">
        <v>115</v>
      </c>
      <c r="D11" s="33" t="str">
        <f t="shared" si="2"/>
        <v>STR_CHA_C_0003</v>
      </c>
      <c r="E11" s="33" t="str">
        <f t="shared" si="3"/>
        <v>STR_CHA_C_0003_DESC</v>
      </c>
      <c r="F11" s="36">
        <v>2</v>
      </c>
      <c r="G11" s="36">
        <v>12</v>
      </c>
      <c r="H11" s="36">
        <v>20</v>
      </c>
      <c r="I11" s="36">
        <v>18</v>
      </c>
      <c r="J11" s="36">
        <v>14</v>
      </c>
      <c r="K11" s="36">
        <v>6</v>
      </c>
      <c r="L11" s="33">
        <v>1</v>
      </c>
      <c r="M11" s="33">
        <v>1</v>
      </c>
      <c r="N11" s="33">
        <v>1</v>
      </c>
      <c r="O11" s="33">
        <v>1</v>
      </c>
      <c r="P11" s="33">
        <v>1</v>
      </c>
      <c r="Q11" s="33" t="s">
        <v>149</v>
      </c>
      <c r="R11" s="33" t="s">
        <v>150</v>
      </c>
      <c r="S11" s="33" t="s">
        <v>151</v>
      </c>
      <c r="T11" s="33" t="s">
        <v>152</v>
      </c>
      <c r="U11" s="33" t="s">
        <v>153</v>
      </c>
      <c r="V11" s="33" t="s">
        <v>155</v>
      </c>
      <c r="W11" s="36" t="s">
        <v>177</v>
      </c>
      <c r="X11" s="36" t="s">
        <v>167</v>
      </c>
      <c r="Y11" s="36" t="s">
        <v>242</v>
      </c>
    </row>
    <row r="12" spans="1:25" x14ac:dyDescent="0.3">
      <c r="A12" s="33">
        <v>10010</v>
      </c>
      <c r="B12" s="36" t="s">
        <v>224</v>
      </c>
      <c r="C12" s="37" t="s">
        <v>116</v>
      </c>
      <c r="D12" s="33" t="str">
        <f t="shared" si="2"/>
        <v>STR_CHA_C_0004</v>
      </c>
      <c r="E12" s="33" t="str">
        <f t="shared" si="3"/>
        <v>STR_CHA_C_0004_DESC</v>
      </c>
      <c r="F12" s="36">
        <v>2</v>
      </c>
      <c r="G12" s="36">
        <v>14</v>
      </c>
      <c r="H12" s="36">
        <v>18</v>
      </c>
      <c r="I12" s="36">
        <v>20</v>
      </c>
      <c r="J12" s="36">
        <v>12</v>
      </c>
      <c r="K12" s="36">
        <v>6</v>
      </c>
      <c r="L12" s="33">
        <v>1</v>
      </c>
      <c r="M12" s="33">
        <v>1</v>
      </c>
      <c r="N12" s="33">
        <v>1</v>
      </c>
      <c r="O12" s="33">
        <v>1</v>
      </c>
      <c r="P12" s="33">
        <v>1</v>
      </c>
      <c r="Q12" s="33" t="s">
        <v>149</v>
      </c>
      <c r="R12" s="33" t="s">
        <v>150</v>
      </c>
      <c r="S12" s="33" t="s">
        <v>151</v>
      </c>
      <c r="T12" s="33" t="s">
        <v>152</v>
      </c>
      <c r="U12" s="33" t="s">
        <v>153</v>
      </c>
      <c r="V12" s="33" t="s">
        <v>155</v>
      </c>
      <c r="W12" s="36" t="s">
        <v>178</v>
      </c>
      <c r="X12" s="36" t="s">
        <v>195</v>
      </c>
      <c r="Y12" s="36" t="s">
        <v>243</v>
      </c>
    </row>
    <row r="13" spans="1:25" x14ac:dyDescent="0.3">
      <c r="A13" s="33">
        <v>10011</v>
      </c>
      <c r="B13" s="36" t="s">
        <v>225</v>
      </c>
      <c r="C13" s="37" t="s">
        <v>117</v>
      </c>
      <c r="D13" s="33" t="str">
        <f t="shared" si="2"/>
        <v>STR_CHA_C_0005</v>
      </c>
      <c r="E13" s="33" t="str">
        <f t="shared" si="3"/>
        <v>STR_CHA_C_0005_DESC</v>
      </c>
      <c r="F13" s="36">
        <v>2</v>
      </c>
      <c r="G13" s="36">
        <v>18</v>
      </c>
      <c r="H13" s="36">
        <v>14</v>
      </c>
      <c r="I13" s="36">
        <v>12</v>
      </c>
      <c r="J13" s="36">
        <v>20</v>
      </c>
      <c r="K13" s="36">
        <v>6</v>
      </c>
      <c r="L13" s="33">
        <v>1</v>
      </c>
      <c r="M13" s="33">
        <v>1</v>
      </c>
      <c r="N13" s="33">
        <v>1</v>
      </c>
      <c r="O13" s="33">
        <v>1</v>
      </c>
      <c r="P13" s="33">
        <v>1</v>
      </c>
      <c r="Q13" s="33" t="s">
        <v>149</v>
      </c>
      <c r="R13" s="33" t="s">
        <v>150</v>
      </c>
      <c r="S13" s="33" t="s">
        <v>151</v>
      </c>
      <c r="T13" s="33" t="s">
        <v>152</v>
      </c>
      <c r="U13" s="33" t="s">
        <v>153</v>
      </c>
      <c r="V13" s="33" t="s">
        <v>155</v>
      </c>
      <c r="W13" s="36" t="s">
        <v>179</v>
      </c>
      <c r="X13" s="36" t="s">
        <v>196</v>
      </c>
      <c r="Y13" s="36" t="s">
        <v>241</v>
      </c>
    </row>
    <row r="14" spans="1:25" x14ac:dyDescent="0.3">
      <c r="A14" s="33">
        <v>10012</v>
      </c>
      <c r="B14" s="34" t="s">
        <v>226</v>
      </c>
      <c r="C14" s="37" t="s">
        <v>118</v>
      </c>
      <c r="D14" s="33" t="str">
        <f t="shared" si="2"/>
        <v>STR_CHA_B_0001</v>
      </c>
      <c r="E14" s="33" t="str">
        <f t="shared" si="3"/>
        <v>STR_CHA_B_0001_DESC</v>
      </c>
      <c r="F14" s="36">
        <v>3</v>
      </c>
      <c r="G14" s="36">
        <v>19</v>
      </c>
      <c r="H14" s="36">
        <v>19</v>
      </c>
      <c r="I14" s="36">
        <v>19</v>
      </c>
      <c r="J14" s="36">
        <v>19</v>
      </c>
      <c r="K14" s="36">
        <v>9</v>
      </c>
      <c r="L14" s="33">
        <v>2</v>
      </c>
      <c r="M14" s="33">
        <v>2</v>
      </c>
      <c r="N14" s="33">
        <v>2</v>
      </c>
      <c r="O14" s="33">
        <v>2</v>
      </c>
      <c r="P14" s="33">
        <v>2</v>
      </c>
      <c r="Q14" s="33" t="s">
        <v>204</v>
      </c>
      <c r="R14" s="33" t="s">
        <v>205</v>
      </c>
      <c r="S14" s="33" t="s">
        <v>206</v>
      </c>
      <c r="T14" s="33" t="s">
        <v>207</v>
      </c>
      <c r="U14" s="33" t="s">
        <v>208</v>
      </c>
      <c r="V14" s="33" t="s">
        <v>209</v>
      </c>
      <c r="W14" s="36" t="s">
        <v>180</v>
      </c>
      <c r="X14" s="36" t="s">
        <v>197</v>
      </c>
      <c r="Y14" s="36" t="s">
        <v>241</v>
      </c>
    </row>
    <row r="15" spans="1:25" x14ac:dyDescent="0.3">
      <c r="A15" s="33">
        <v>10013</v>
      </c>
      <c r="B15" s="36" t="s">
        <v>227</v>
      </c>
      <c r="C15" s="37" t="s">
        <v>120</v>
      </c>
      <c r="D15" s="33" t="str">
        <f t="shared" si="2"/>
        <v>STR_CHA_B_0002</v>
      </c>
      <c r="E15" s="33" t="str">
        <f t="shared" si="3"/>
        <v>STR_CHA_B_0002_DESC</v>
      </c>
      <c r="F15" s="36">
        <v>3</v>
      </c>
      <c r="G15" s="36">
        <v>22</v>
      </c>
      <c r="H15" s="36">
        <v>16</v>
      </c>
      <c r="I15" s="36">
        <v>18</v>
      </c>
      <c r="J15" s="36">
        <v>20</v>
      </c>
      <c r="K15" s="36">
        <v>9</v>
      </c>
      <c r="L15" s="33">
        <v>2</v>
      </c>
      <c r="M15" s="33">
        <v>2</v>
      </c>
      <c r="N15" s="33">
        <v>2</v>
      </c>
      <c r="O15" s="33">
        <v>2</v>
      </c>
      <c r="P15" s="33">
        <v>2</v>
      </c>
      <c r="Q15" s="33" t="s">
        <v>204</v>
      </c>
      <c r="R15" s="33" t="s">
        <v>205</v>
      </c>
      <c r="S15" s="33" t="s">
        <v>206</v>
      </c>
      <c r="T15" s="33" t="s">
        <v>207</v>
      </c>
      <c r="U15" s="33" t="s">
        <v>208</v>
      </c>
      <c r="V15" s="33" t="s">
        <v>209</v>
      </c>
      <c r="W15" s="36" t="s">
        <v>181</v>
      </c>
      <c r="X15" s="36" t="s">
        <v>198</v>
      </c>
      <c r="Y15" s="36" t="s">
        <v>241</v>
      </c>
    </row>
    <row r="16" spans="1:25" x14ac:dyDescent="0.3">
      <c r="A16" s="33">
        <v>10014</v>
      </c>
      <c r="B16" s="36" t="s">
        <v>228</v>
      </c>
      <c r="C16" s="37" t="s">
        <v>121</v>
      </c>
      <c r="D16" s="33" t="str">
        <f t="shared" si="2"/>
        <v>STR_CHA_B_0003</v>
      </c>
      <c r="E16" s="33" t="str">
        <f t="shared" si="3"/>
        <v>STR_CHA_B_0003_DESC</v>
      </c>
      <c r="F16" s="36">
        <v>3</v>
      </c>
      <c r="G16" s="36">
        <v>16</v>
      </c>
      <c r="H16" s="36">
        <v>22</v>
      </c>
      <c r="I16" s="36">
        <v>20</v>
      </c>
      <c r="J16" s="36">
        <v>18</v>
      </c>
      <c r="K16" s="36">
        <v>9</v>
      </c>
      <c r="L16" s="33">
        <v>2</v>
      </c>
      <c r="M16" s="33">
        <v>2</v>
      </c>
      <c r="N16" s="33">
        <v>2</v>
      </c>
      <c r="O16" s="33">
        <v>2</v>
      </c>
      <c r="P16" s="33">
        <v>2</v>
      </c>
      <c r="Q16" s="33" t="s">
        <v>204</v>
      </c>
      <c r="R16" s="33" t="s">
        <v>205</v>
      </c>
      <c r="S16" s="33" t="s">
        <v>206</v>
      </c>
      <c r="T16" s="33" t="s">
        <v>207</v>
      </c>
      <c r="U16" s="33" t="s">
        <v>208</v>
      </c>
      <c r="V16" s="33" t="s">
        <v>209</v>
      </c>
      <c r="W16" s="36" t="s">
        <v>182</v>
      </c>
      <c r="X16" s="36" t="s">
        <v>199</v>
      </c>
      <c r="Y16" s="36" t="s">
        <v>242</v>
      </c>
    </row>
    <row r="17" spans="1:25" x14ac:dyDescent="0.3">
      <c r="A17" s="33">
        <v>10015</v>
      </c>
      <c r="B17" s="36" t="s">
        <v>229</v>
      </c>
      <c r="C17" s="37" t="s">
        <v>122</v>
      </c>
      <c r="D17" s="33" t="str">
        <f t="shared" si="2"/>
        <v>STR_CHA_B_0004</v>
      </c>
      <c r="E17" s="33" t="str">
        <f t="shared" si="3"/>
        <v>STR_CHA_B_0004_DESC</v>
      </c>
      <c r="F17" s="36">
        <v>3</v>
      </c>
      <c r="G17" s="36">
        <v>18</v>
      </c>
      <c r="H17" s="36">
        <v>20</v>
      </c>
      <c r="I17" s="36">
        <v>22</v>
      </c>
      <c r="J17" s="36">
        <v>16</v>
      </c>
      <c r="K17" s="36">
        <v>9</v>
      </c>
      <c r="L17" s="33">
        <v>2</v>
      </c>
      <c r="M17" s="33">
        <v>2</v>
      </c>
      <c r="N17" s="33">
        <v>2</v>
      </c>
      <c r="O17" s="33">
        <v>2</v>
      </c>
      <c r="P17" s="33">
        <v>2</v>
      </c>
      <c r="Q17" s="33" t="s">
        <v>204</v>
      </c>
      <c r="R17" s="33" t="s">
        <v>205</v>
      </c>
      <c r="S17" s="33" t="s">
        <v>206</v>
      </c>
      <c r="T17" s="33" t="s">
        <v>207</v>
      </c>
      <c r="U17" s="33" t="s">
        <v>208</v>
      </c>
      <c r="V17" s="33" t="s">
        <v>209</v>
      </c>
      <c r="W17" s="36" t="s">
        <v>183</v>
      </c>
      <c r="X17" s="36" t="s">
        <v>200</v>
      </c>
      <c r="Y17" s="36" t="s">
        <v>243</v>
      </c>
    </row>
    <row r="18" spans="1:25" x14ac:dyDescent="0.3">
      <c r="A18" s="33">
        <v>10016</v>
      </c>
      <c r="B18" s="36" t="s">
        <v>230</v>
      </c>
      <c r="C18" s="37" t="s">
        <v>123</v>
      </c>
      <c r="D18" s="33" t="str">
        <f t="shared" si="2"/>
        <v>STR_CHA_B_0005</v>
      </c>
      <c r="E18" s="33" t="str">
        <f t="shared" si="3"/>
        <v>STR_CHA_B_0005_DESC</v>
      </c>
      <c r="F18" s="36">
        <v>3</v>
      </c>
      <c r="G18" s="36">
        <v>20</v>
      </c>
      <c r="H18" s="36">
        <v>18</v>
      </c>
      <c r="I18" s="36">
        <v>16</v>
      </c>
      <c r="J18" s="36">
        <v>22</v>
      </c>
      <c r="K18" s="36">
        <v>9</v>
      </c>
      <c r="L18" s="33">
        <v>2</v>
      </c>
      <c r="M18" s="33">
        <v>2</v>
      </c>
      <c r="N18" s="33">
        <v>2</v>
      </c>
      <c r="O18" s="33">
        <v>2</v>
      </c>
      <c r="P18" s="33">
        <v>2</v>
      </c>
      <c r="Q18" s="33" t="s">
        <v>204</v>
      </c>
      <c r="R18" s="33" t="s">
        <v>205</v>
      </c>
      <c r="S18" s="33" t="s">
        <v>206</v>
      </c>
      <c r="T18" s="33" t="s">
        <v>207</v>
      </c>
      <c r="U18" s="33" t="s">
        <v>208</v>
      </c>
      <c r="V18" s="33" t="s">
        <v>209</v>
      </c>
      <c r="W18" s="36" t="s">
        <v>184</v>
      </c>
      <c r="X18" s="36" t="s">
        <v>201</v>
      </c>
      <c r="Y18" s="36" t="s">
        <v>241</v>
      </c>
    </row>
    <row r="19" spans="1:25" x14ac:dyDescent="0.3">
      <c r="A19" s="33">
        <v>10017</v>
      </c>
      <c r="B19" s="36" t="s">
        <v>231</v>
      </c>
      <c r="C19" s="37" t="s">
        <v>161</v>
      </c>
      <c r="D19" s="33" t="str">
        <f t="shared" ref="D19:D23" si="4">"STR_"&amp;UPPER(C19)</f>
        <v>STR_CHA_A_0001</v>
      </c>
      <c r="E19" s="33" t="str">
        <f t="shared" ref="E19:E23" si="5">D19&amp;"_DESC"</f>
        <v>STR_CHA_A_0001_DESC</v>
      </c>
      <c r="F19" s="36">
        <v>4</v>
      </c>
      <c r="G19" s="36">
        <v>22</v>
      </c>
      <c r="H19" s="36">
        <v>22</v>
      </c>
      <c r="I19" s="36">
        <v>22</v>
      </c>
      <c r="J19" s="36">
        <v>22</v>
      </c>
      <c r="K19" s="36">
        <v>12</v>
      </c>
      <c r="L19" s="36">
        <v>2</v>
      </c>
      <c r="M19" s="36">
        <v>2</v>
      </c>
      <c r="N19" s="36">
        <v>2</v>
      </c>
      <c r="O19" s="36">
        <v>2</v>
      </c>
      <c r="P19" s="36">
        <v>2</v>
      </c>
      <c r="Q19" s="33" t="s">
        <v>210</v>
      </c>
      <c r="R19" s="33" t="s">
        <v>211</v>
      </c>
      <c r="S19" s="33" t="s">
        <v>212</v>
      </c>
      <c r="T19" s="33" t="s">
        <v>213</v>
      </c>
      <c r="U19" s="33" t="s">
        <v>214</v>
      </c>
      <c r="V19" s="33" t="s">
        <v>215</v>
      </c>
      <c r="W19" s="36" t="s">
        <v>185</v>
      </c>
      <c r="X19" s="36" t="s">
        <v>202</v>
      </c>
      <c r="Y19" s="36" t="s">
        <v>241</v>
      </c>
    </row>
    <row r="20" spans="1:25" x14ac:dyDescent="0.3">
      <c r="A20" s="33">
        <v>10018</v>
      </c>
      <c r="B20" s="36" t="s">
        <v>232</v>
      </c>
      <c r="C20" s="37" t="s">
        <v>162</v>
      </c>
      <c r="D20" s="33" t="str">
        <f t="shared" si="4"/>
        <v>STR_CHA_A_0002</v>
      </c>
      <c r="E20" s="33" t="str">
        <f t="shared" si="5"/>
        <v>STR_CHA_A_0002_DESC</v>
      </c>
      <c r="F20" s="36">
        <v>4</v>
      </c>
      <c r="G20" s="36">
        <v>25</v>
      </c>
      <c r="H20" s="36">
        <v>19</v>
      </c>
      <c r="I20" s="36">
        <v>21</v>
      </c>
      <c r="J20" s="36">
        <v>23</v>
      </c>
      <c r="K20" s="36">
        <v>12</v>
      </c>
      <c r="L20" s="36">
        <v>2</v>
      </c>
      <c r="M20" s="36">
        <v>2</v>
      </c>
      <c r="N20" s="36">
        <v>2</v>
      </c>
      <c r="O20" s="36">
        <v>2</v>
      </c>
      <c r="P20" s="36">
        <v>2</v>
      </c>
      <c r="Q20" s="33" t="s">
        <v>210</v>
      </c>
      <c r="R20" s="33" t="s">
        <v>211</v>
      </c>
      <c r="S20" s="33" t="s">
        <v>212</v>
      </c>
      <c r="T20" s="33" t="s">
        <v>213</v>
      </c>
      <c r="U20" s="33" t="s">
        <v>214</v>
      </c>
      <c r="V20" s="33" t="s">
        <v>215</v>
      </c>
      <c r="W20" s="36" t="s">
        <v>186</v>
      </c>
      <c r="X20" s="36" t="s">
        <v>168</v>
      </c>
      <c r="Y20" s="36" t="s">
        <v>241</v>
      </c>
    </row>
    <row r="21" spans="1:25" x14ac:dyDescent="0.3">
      <c r="A21" s="33">
        <v>10019</v>
      </c>
      <c r="B21" s="36" t="s">
        <v>233</v>
      </c>
      <c r="C21" s="37" t="s">
        <v>163</v>
      </c>
      <c r="D21" s="33" t="str">
        <f t="shared" si="4"/>
        <v>STR_CHA_A_0003</v>
      </c>
      <c r="E21" s="33" t="str">
        <f t="shared" si="5"/>
        <v>STR_CHA_A_0003_DESC</v>
      </c>
      <c r="F21" s="36">
        <v>4</v>
      </c>
      <c r="G21" s="36">
        <v>19</v>
      </c>
      <c r="H21" s="36">
        <v>25</v>
      </c>
      <c r="I21" s="36">
        <v>23</v>
      </c>
      <c r="J21" s="36">
        <v>21</v>
      </c>
      <c r="K21" s="36">
        <v>12</v>
      </c>
      <c r="L21" s="36">
        <v>2</v>
      </c>
      <c r="M21" s="36">
        <v>2</v>
      </c>
      <c r="N21" s="36">
        <v>2</v>
      </c>
      <c r="O21" s="36">
        <v>2</v>
      </c>
      <c r="P21" s="36">
        <v>2</v>
      </c>
      <c r="Q21" s="33" t="s">
        <v>210</v>
      </c>
      <c r="R21" s="33" t="s">
        <v>211</v>
      </c>
      <c r="S21" s="33" t="s">
        <v>212</v>
      </c>
      <c r="T21" s="33" t="s">
        <v>213</v>
      </c>
      <c r="U21" s="33" t="s">
        <v>214</v>
      </c>
      <c r="V21" s="33" t="s">
        <v>215</v>
      </c>
      <c r="W21" s="36" t="s">
        <v>187</v>
      </c>
      <c r="X21" s="36" t="s">
        <v>203</v>
      </c>
      <c r="Y21" s="36" t="s">
        <v>242</v>
      </c>
    </row>
    <row r="22" spans="1:25" x14ac:dyDescent="0.3">
      <c r="A22" s="33">
        <v>10020</v>
      </c>
      <c r="B22" s="36" t="s">
        <v>234</v>
      </c>
      <c r="C22" s="37" t="s">
        <v>164</v>
      </c>
      <c r="D22" s="33" t="str">
        <f t="shared" si="4"/>
        <v>STR_CHA_A_0004</v>
      </c>
      <c r="E22" s="33" t="str">
        <f t="shared" si="5"/>
        <v>STR_CHA_A_0004_DESC</v>
      </c>
      <c r="F22" s="36">
        <v>4</v>
      </c>
      <c r="G22" s="36">
        <v>21</v>
      </c>
      <c r="H22" s="36">
        <v>23</v>
      </c>
      <c r="I22" s="36">
        <v>25</v>
      </c>
      <c r="J22" s="36">
        <v>19</v>
      </c>
      <c r="K22" s="36">
        <v>12</v>
      </c>
      <c r="L22" s="36">
        <v>2</v>
      </c>
      <c r="M22" s="36">
        <v>2</v>
      </c>
      <c r="N22" s="36">
        <v>2</v>
      </c>
      <c r="O22" s="36">
        <v>2</v>
      </c>
      <c r="P22" s="36">
        <v>2</v>
      </c>
      <c r="Q22" s="33" t="s">
        <v>210</v>
      </c>
      <c r="R22" s="33" t="s">
        <v>211</v>
      </c>
      <c r="S22" s="33" t="s">
        <v>212</v>
      </c>
      <c r="T22" s="33" t="s">
        <v>213</v>
      </c>
      <c r="U22" s="33" t="s">
        <v>214</v>
      </c>
      <c r="V22" s="33" t="s">
        <v>215</v>
      </c>
      <c r="W22" s="36" t="s">
        <v>244</v>
      </c>
      <c r="X22" s="36" t="s">
        <v>245</v>
      </c>
      <c r="Y22" s="36" t="s">
        <v>243</v>
      </c>
    </row>
    <row r="23" spans="1:25" x14ac:dyDescent="0.3">
      <c r="A23" s="33">
        <v>10021</v>
      </c>
      <c r="B23" s="36" t="s">
        <v>235</v>
      </c>
      <c r="C23" s="37" t="s">
        <v>165</v>
      </c>
      <c r="D23" s="33" t="str">
        <f t="shared" si="4"/>
        <v>STR_CHA_A_0005</v>
      </c>
      <c r="E23" s="33" t="str">
        <f t="shared" si="5"/>
        <v>STR_CHA_A_0005_DESC</v>
      </c>
      <c r="F23" s="36">
        <v>4</v>
      </c>
      <c r="G23" s="36">
        <v>23</v>
      </c>
      <c r="H23" s="36">
        <v>21</v>
      </c>
      <c r="I23" s="36">
        <v>19</v>
      </c>
      <c r="J23" s="36">
        <v>25</v>
      </c>
      <c r="K23" s="36">
        <v>12</v>
      </c>
      <c r="L23" s="36">
        <v>2</v>
      </c>
      <c r="M23" s="36">
        <v>2</v>
      </c>
      <c r="N23" s="36">
        <v>2</v>
      </c>
      <c r="O23" s="36">
        <v>2</v>
      </c>
      <c r="P23" s="36">
        <v>2</v>
      </c>
      <c r="Q23" s="33" t="s">
        <v>210</v>
      </c>
      <c r="R23" s="33" t="s">
        <v>211</v>
      </c>
      <c r="S23" s="33" t="s">
        <v>212</v>
      </c>
      <c r="T23" s="33" t="s">
        <v>213</v>
      </c>
      <c r="U23" s="33" t="s">
        <v>214</v>
      </c>
      <c r="V23" s="33" t="s">
        <v>215</v>
      </c>
      <c r="W23" s="36" t="s">
        <v>78</v>
      </c>
      <c r="X23" s="36" t="s">
        <v>85</v>
      </c>
      <c r="Y23" s="36" t="s">
        <v>241</v>
      </c>
    </row>
    <row r="24" spans="1:25" x14ac:dyDescent="0.3">
      <c r="A24" s="33">
        <v>10022</v>
      </c>
      <c r="B24" s="36" t="s">
        <v>246</v>
      </c>
      <c r="C24" s="37" t="s">
        <v>249</v>
      </c>
      <c r="D24" s="33" t="str">
        <f t="shared" ref="D24" si="6">"STR_"&amp;UPPER(C24)</f>
        <v>STR_CHA_A_0006</v>
      </c>
      <c r="E24" s="33" t="str">
        <f t="shared" ref="E24" si="7">D24&amp;"_DESC"</f>
        <v>STR_CHA_A_0006_DESC</v>
      </c>
      <c r="F24" s="36">
        <v>4</v>
      </c>
      <c r="G24" s="36">
        <v>24</v>
      </c>
      <c r="H24" s="36">
        <v>21</v>
      </c>
      <c r="I24" s="36">
        <v>19</v>
      </c>
      <c r="J24" s="36">
        <v>27</v>
      </c>
      <c r="K24" s="36">
        <v>9</v>
      </c>
      <c r="L24" s="36">
        <v>2</v>
      </c>
      <c r="M24" s="36">
        <v>2</v>
      </c>
      <c r="N24" s="36">
        <v>2</v>
      </c>
      <c r="O24" s="36">
        <v>2</v>
      </c>
      <c r="P24" s="36">
        <v>2</v>
      </c>
      <c r="Q24" s="33" t="s">
        <v>210</v>
      </c>
      <c r="R24" s="33" t="s">
        <v>211</v>
      </c>
      <c r="S24" s="33" t="s">
        <v>212</v>
      </c>
      <c r="T24" s="33" t="s">
        <v>213</v>
      </c>
      <c r="U24" s="33" t="s">
        <v>214</v>
      </c>
      <c r="V24" s="33" t="s">
        <v>215</v>
      </c>
      <c r="W24" s="36" t="s">
        <v>258</v>
      </c>
      <c r="X24" s="36" t="s">
        <v>261</v>
      </c>
      <c r="Y24" s="36" t="s">
        <v>264</v>
      </c>
    </row>
    <row r="25" spans="1:25" x14ac:dyDescent="0.3">
      <c r="A25" s="33">
        <v>10023</v>
      </c>
      <c r="B25" s="36" t="s">
        <v>247</v>
      </c>
      <c r="C25" s="37" t="s">
        <v>250</v>
      </c>
      <c r="D25" s="33" t="str">
        <f t="shared" ref="D25:D26" si="8">"STR_"&amp;UPPER(C25)</f>
        <v>STR_CHA_A_0007</v>
      </c>
      <c r="E25" s="33" t="str">
        <f t="shared" ref="E25:E26" si="9">D25&amp;"_DESC"</f>
        <v>STR_CHA_A_0007_DESC</v>
      </c>
      <c r="F25" s="36">
        <v>4</v>
      </c>
      <c r="G25" s="36">
        <v>17</v>
      </c>
      <c r="H25" s="36">
        <v>26</v>
      </c>
      <c r="I25" s="36">
        <v>21</v>
      </c>
      <c r="J25" s="36">
        <v>21</v>
      </c>
      <c r="K25" s="36">
        <v>15</v>
      </c>
      <c r="L25" s="36">
        <v>2</v>
      </c>
      <c r="M25" s="36">
        <v>2</v>
      </c>
      <c r="N25" s="36">
        <v>2</v>
      </c>
      <c r="O25" s="36">
        <v>2</v>
      </c>
      <c r="P25" s="36">
        <v>2</v>
      </c>
      <c r="Q25" s="33" t="s">
        <v>210</v>
      </c>
      <c r="R25" s="33" t="s">
        <v>211</v>
      </c>
      <c r="S25" s="33" t="s">
        <v>212</v>
      </c>
      <c r="T25" s="33" t="s">
        <v>213</v>
      </c>
      <c r="U25" s="33" t="s">
        <v>214</v>
      </c>
      <c r="V25" s="33" t="s">
        <v>215</v>
      </c>
      <c r="W25" s="36" t="s">
        <v>259</v>
      </c>
      <c r="X25" s="36" t="s">
        <v>262</v>
      </c>
      <c r="Y25" s="36" t="s">
        <v>265</v>
      </c>
    </row>
    <row r="26" spans="1:25" x14ac:dyDescent="0.3">
      <c r="A26" s="33">
        <v>10024</v>
      </c>
      <c r="B26" s="36" t="s">
        <v>248</v>
      </c>
      <c r="C26" s="37" t="s">
        <v>251</v>
      </c>
      <c r="D26" s="33" t="str">
        <f t="shared" si="8"/>
        <v>STR_CHA_S_0001</v>
      </c>
      <c r="E26" s="33" t="str">
        <f t="shared" si="9"/>
        <v>STR_CHA_S_0001_DESC</v>
      </c>
      <c r="F26" s="36">
        <v>5</v>
      </c>
      <c r="G26" s="36">
        <v>25</v>
      </c>
      <c r="H26" s="36">
        <v>25</v>
      </c>
      <c r="I26" s="36">
        <v>25</v>
      </c>
      <c r="J26" s="36">
        <v>25</v>
      </c>
      <c r="K26" s="36">
        <v>15</v>
      </c>
      <c r="L26" s="36">
        <v>3</v>
      </c>
      <c r="M26" s="36">
        <v>3</v>
      </c>
      <c r="N26" s="36">
        <v>3</v>
      </c>
      <c r="O26" s="36">
        <v>3</v>
      </c>
      <c r="P26" s="36">
        <v>3</v>
      </c>
      <c r="Q26" s="33" t="s">
        <v>252</v>
      </c>
      <c r="R26" s="33" t="s">
        <v>253</v>
      </c>
      <c r="S26" s="33" t="s">
        <v>254</v>
      </c>
      <c r="T26" s="33" t="s">
        <v>255</v>
      </c>
      <c r="U26" s="33" t="s">
        <v>256</v>
      </c>
      <c r="V26" s="33" t="s">
        <v>257</v>
      </c>
      <c r="W26" s="36" t="s">
        <v>260</v>
      </c>
      <c r="X26" s="36" t="s">
        <v>263</v>
      </c>
      <c r="Y26" s="36" t="s">
        <v>266</v>
      </c>
    </row>
  </sheetData>
  <autoFilter ref="A1:X2"/>
  <phoneticPr fontId="1" type="noConversion"/>
  <pageMargins left="0.7" right="0.7" top="0.75" bottom="0.75" header="0.3" footer="0.3"/>
  <pageSetup paperSize="9" orientation="portrait" horizont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whole" allowBlank="1" showInputMessage="1" showErrorMessage="1">
          <x14:formula1>
            <xm:f>Definition!F7</xm:f>
          </x14:formula1>
          <x14:formula2>
            <xm:f>Definition!G7</xm:f>
          </x14:formula2>
          <xm:sqref>F2:F4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80"/>
  <sheetViews>
    <sheetView workbookViewId="0">
      <selection activeCell="F5" sqref="F5"/>
    </sheetView>
  </sheetViews>
  <sheetFormatPr defaultRowHeight="16.5" x14ac:dyDescent="0.3"/>
  <sheetData>
    <row r="1" spans="1:16" x14ac:dyDescent="0.3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opLeftCell="A10" workbookViewId="0">
      <selection activeCell="D31" sqref="D31:H35"/>
    </sheetView>
  </sheetViews>
  <sheetFormatPr defaultRowHeight="16.5" x14ac:dyDescent="0.3"/>
  <sheetData>
    <row r="1" spans="1:15" x14ac:dyDescent="0.3">
      <c r="A1" t="s">
        <v>90</v>
      </c>
      <c r="B1" t="s">
        <v>90</v>
      </c>
      <c r="C1" t="s">
        <v>94</v>
      </c>
      <c r="D1" t="s">
        <v>91</v>
      </c>
      <c r="E1" t="s">
        <v>92</v>
      </c>
      <c r="F1" t="s">
        <v>93</v>
      </c>
    </row>
    <row r="2" spans="1:15" x14ac:dyDescent="0.3">
      <c r="A2">
        <v>0</v>
      </c>
      <c r="B2" t="s">
        <v>104</v>
      </c>
      <c r="C2">
        <f>SUM(D2:F2)</f>
        <v>80</v>
      </c>
      <c r="D2">
        <v>55</v>
      </c>
      <c r="E2">
        <v>0</v>
      </c>
      <c r="F2">
        <v>25</v>
      </c>
    </row>
    <row r="3" spans="1:15" x14ac:dyDescent="0.3">
      <c r="A3">
        <v>1</v>
      </c>
      <c r="B3" t="s">
        <v>89</v>
      </c>
      <c r="C3">
        <f>SUM(D3:F3)</f>
        <v>90</v>
      </c>
      <c r="D3">
        <v>55</v>
      </c>
      <c r="E3">
        <v>10</v>
      </c>
      <c r="F3">
        <v>25</v>
      </c>
    </row>
    <row r="4" spans="1:15" x14ac:dyDescent="0.3">
      <c r="A4">
        <v>2</v>
      </c>
      <c r="B4" t="s">
        <v>95</v>
      </c>
      <c r="C4">
        <f t="shared" ref="C4:C8" si="0">SUM(D4:F4)</f>
        <v>105</v>
      </c>
      <c r="D4">
        <v>70</v>
      </c>
      <c r="E4">
        <v>10</v>
      </c>
      <c r="F4">
        <v>25</v>
      </c>
    </row>
    <row r="5" spans="1:15" x14ac:dyDescent="0.3">
      <c r="A5">
        <v>3</v>
      </c>
      <c r="B5" t="s">
        <v>96</v>
      </c>
      <c r="C5">
        <f t="shared" si="0"/>
        <v>120</v>
      </c>
      <c r="D5">
        <v>85</v>
      </c>
      <c r="E5">
        <v>10</v>
      </c>
      <c r="F5">
        <v>25</v>
      </c>
    </row>
    <row r="6" spans="1:15" x14ac:dyDescent="0.3">
      <c r="A6">
        <v>4</v>
      </c>
      <c r="B6" t="s">
        <v>97</v>
      </c>
      <c r="C6">
        <f t="shared" si="0"/>
        <v>135</v>
      </c>
      <c r="D6">
        <v>100</v>
      </c>
      <c r="E6">
        <v>10</v>
      </c>
      <c r="F6">
        <v>25</v>
      </c>
    </row>
    <row r="7" spans="1:15" x14ac:dyDescent="0.3">
      <c r="A7">
        <v>5</v>
      </c>
      <c r="B7" t="s">
        <v>98</v>
      </c>
      <c r="C7">
        <f t="shared" si="0"/>
        <v>160</v>
      </c>
      <c r="D7">
        <v>125</v>
      </c>
      <c r="E7">
        <v>10</v>
      </c>
      <c r="F7">
        <v>25</v>
      </c>
    </row>
    <row r="8" spans="1:15" x14ac:dyDescent="0.3">
      <c r="A8">
        <v>6</v>
      </c>
      <c r="B8" t="s">
        <v>99</v>
      </c>
      <c r="C8">
        <f t="shared" si="0"/>
        <v>175</v>
      </c>
      <c r="D8">
        <v>140</v>
      </c>
      <c r="E8">
        <v>10</v>
      </c>
      <c r="F8">
        <v>25</v>
      </c>
    </row>
    <row r="13" spans="1:15" x14ac:dyDescent="0.3">
      <c r="A13" t="s">
        <v>102</v>
      </c>
      <c r="B13" t="s">
        <v>5</v>
      </c>
      <c r="C13" t="s">
        <v>100</v>
      </c>
      <c r="D13" t="s">
        <v>45</v>
      </c>
      <c r="E13" t="s">
        <v>47</v>
      </c>
      <c r="F13" t="s">
        <v>101</v>
      </c>
      <c r="G13" t="s">
        <v>50</v>
      </c>
      <c r="H13" t="s">
        <v>52</v>
      </c>
      <c r="I13" t="s">
        <v>105</v>
      </c>
      <c r="J13" t="s">
        <v>59</v>
      </c>
      <c r="K13" t="s">
        <v>61</v>
      </c>
      <c r="L13" t="s">
        <v>63</v>
      </c>
      <c r="M13" t="s">
        <v>65</v>
      </c>
      <c r="N13" t="s">
        <v>67</v>
      </c>
      <c r="O13" t="s">
        <v>105</v>
      </c>
    </row>
    <row r="14" spans="1:15" x14ac:dyDescent="0.3">
      <c r="A14" t="s">
        <v>103</v>
      </c>
      <c r="B14" t="s">
        <v>124</v>
      </c>
      <c r="C14">
        <v>0</v>
      </c>
      <c r="D14">
        <v>13</v>
      </c>
      <c r="E14">
        <v>13</v>
      </c>
      <c r="F14">
        <v>13</v>
      </c>
      <c r="G14">
        <v>13</v>
      </c>
      <c r="H14">
        <v>3</v>
      </c>
      <c r="I14">
        <f>VLOOKUP(C14,$A$2:$F$8,4,FALSE)-SUM(D14:H14)</f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f>VLOOKUP(C14,$A$2:$F$8,5,FALSE)-SUM(J14:N14)</f>
        <v>0</v>
      </c>
    </row>
    <row r="15" spans="1:15" x14ac:dyDescent="0.3">
      <c r="A15" t="s">
        <v>82</v>
      </c>
      <c r="B15" t="s">
        <v>124</v>
      </c>
      <c r="C15">
        <v>0</v>
      </c>
      <c r="D15">
        <v>13</v>
      </c>
      <c r="E15">
        <v>13</v>
      </c>
      <c r="F15">
        <v>13</v>
      </c>
      <c r="G15">
        <v>13</v>
      </c>
      <c r="H15">
        <v>3</v>
      </c>
      <c r="I15">
        <f t="shared" ref="I15" si="1">VLOOKUP(C15,$A$2:$F$8,4,FALSE)-SUM(D15:H15)</f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f t="shared" ref="O15" si="2">VLOOKUP(C15,$A$2:$F$8,5,FALSE)-SUM(J15:N15)</f>
        <v>0</v>
      </c>
    </row>
    <row r="16" spans="1:15" x14ac:dyDescent="0.3">
      <c r="A16" s="39" t="s">
        <v>108</v>
      </c>
      <c r="B16" s="39" t="s">
        <v>124</v>
      </c>
      <c r="C16" s="39">
        <v>1</v>
      </c>
      <c r="D16" s="39">
        <v>13</v>
      </c>
      <c r="E16" s="39">
        <v>13</v>
      </c>
      <c r="F16" s="39">
        <v>13</v>
      </c>
      <c r="G16" s="39">
        <v>13</v>
      </c>
      <c r="H16" s="39">
        <v>3</v>
      </c>
      <c r="I16" s="39">
        <f>VLOOKUP(C16,$A$2:$F$8,4,FALSE)-SUM(D16:H16)</f>
        <v>0</v>
      </c>
      <c r="J16" s="39">
        <v>2</v>
      </c>
      <c r="K16" s="39">
        <v>2</v>
      </c>
      <c r="L16" s="39">
        <v>2</v>
      </c>
      <c r="M16" s="39">
        <v>2</v>
      </c>
      <c r="N16" s="39">
        <v>2</v>
      </c>
      <c r="O16" s="39">
        <f>VLOOKUP(C16,$A$2:$F$8,5,FALSE)-SUM(J16:N16)</f>
        <v>0</v>
      </c>
    </row>
    <row r="17" spans="1:15" x14ac:dyDescent="0.3">
      <c r="A17" s="39" t="s">
        <v>106</v>
      </c>
      <c r="B17" s="39" t="s">
        <v>125</v>
      </c>
      <c r="C17" s="39">
        <v>1</v>
      </c>
      <c r="D17" s="39">
        <v>18</v>
      </c>
      <c r="E17" s="39">
        <v>8</v>
      </c>
      <c r="F17" s="39">
        <v>10</v>
      </c>
      <c r="G17" s="39">
        <v>16</v>
      </c>
      <c r="H17" s="39">
        <v>3</v>
      </c>
      <c r="I17" s="39">
        <f t="shared" ref="I17:I20" si="3">VLOOKUP(C17,$A$2:$F$8,4,FALSE)-SUM(D17:H17)</f>
        <v>0</v>
      </c>
      <c r="J17" s="39">
        <v>2</v>
      </c>
      <c r="K17" s="39">
        <v>2</v>
      </c>
      <c r="L17" s="39">
        <v>2</v>
      </c>
      <c r="M17" s="39">
        <v>2</v>
      </c>
      <c r="N17" s="39">
        <v>2</v>
      </c>
      <c r="O17" s="39">
        <f t="shared" ref="O17:O20" si="4">VLOOKUP(C17,$A$2:$F$8,5,FALSE)-SUM(J17:N17)</f>
        <v>0</v>
      </c>
    </row>
    <row r="18" spans="1:15" x14ac:dyDescent="0.3">
      <c r="A18" s="39" t="s">
        <v>109</v>
      </c>
      <c r="B18" s="39" t="s">
        <v>126</v>
      </c>
      <c r="C18" s="39">
        <v>1</v>
      </c>
      <c r="D18" s="39">
        <v>8</v>
      </c>
      <c r="E18" s="39">
        <v>18</v>
      </c>
      <c r="F18" s="39">
        <v>16</v>
      </c>
      <c r="G18" s="39">
        <v>10</v>
      </c>
      <c r="H18" s="39">
        <v>3</v>
      </c>
      <c r="I18" s="39">
        <f t="shared" si="3"/>
        <v>0</v>
      </c>
      <c r="J18" s="39">
        <v>2</v>
      </c>
      <c r="K18" s="39">
        <v>2</v>
      </c>
      <c r="L18" s="39">
        <v>2</v>
      </c>
      <c r="M18" s="39">
        <v>2</v>
      </c>
      <c r="N18" s="39">
        <v>2</v>
      </c>
      <c r="O18" s="39">
        <f t="shared" si="4"/>
        <v>0</v>
      </c>
    </row>
    <row r="19" spans="1:15" x14ac:dyDescent="0.3">
      <c r="A19" s="39" t="s">
        <v>110</v>
      </c>
      <c r="B19" s="39" t="s">
        <v>127</v>
      </c>
      <c r="C19" s="39">
        <v>1</v>
      </c>
      <c r="D19" s="39">
        <v>10</v>
      </c>
      <c r="E19" s="39">
        <v>16</v>
      </c>
      <c r="F19" s="39">
        <v>18</v>
      </c>
      <c r="G19" s="39">
        <v>8</v>
      </c>
      <c r="H19" s="39">
        <v>3</v>
      </c>
      <c r="I19" s="39">
        <f t="shared" si="3"/>
        <v>0</v>
      </c>
      <c r="J19" s="39">
        <v>2</v>
      </c>
      <c r="K19" s="39">
        <v>2</v>
      </c>
      <c r="L19" s="39">
        <v>2</v>
      </c>
      <c r="M19" s="39">
        <v>2</v>
      </c>
      <c r="N19" s="39">
        <v>2</v>
      </c>
      <c r="O19" s="39">
        <f t="shared" si="4"/>
        <v>0</v>
      </c>
    </row>
    <row r="20" spans="1:15" x14ac:dyDescent="0.3">
      <c r="A20" s="39" t="s">
        <v>111</v>
      </c>
      <c r="B20" s="39" t="s">
        <v>128</v>
      </c>
      <c r="C20" s="39">
        <v>1</v>
      </c>
      <c r="D20" s="39">
        <v>16</v>
      </c>
      <c r="E20" s="39">
        <v>10</v>
      </c>
      <c r="F20" s="39">
        <v>8</v>
      </c>
      <c r="G20" s="39">
        <v>18</v>
      </c>
      <c r="H20" s="39">
        <v>3</v>
      </c>
      <c r="I20" s="39">
        <f t="shared" si="3"/>
        <v>0</v>
      </c>
      <c r="J20" s="39">
        <v>2</v>
      </c>
      <c r="K20" s="39">
        <v>2</v>
      </c>
      <c r="L20" s="39">
        <v>2</v>
      </c>
      <c r="M20" s="39">
        <v>2</v>
      </c>
      <c r="N20" s="39">
        <v>2</v>
      </c>
      <c r="O20" s="39">
        <f t="shared" si="4"/>
        <v>0</v>
      </c>
    </row>
    <row r="21" spans="1:15" x14ac:dyDescent="0.3">
      <c r="A21" s="40" t="s">
        <v>113</v>
      </c>
      <c r="B21" s="40" t="s">
        <v>124</v>
      </c>
      <c r="C21" s="40">
        <v>2</v>
      </c>
      <c r="D21" s="40">
        <v>16</v>
      </c>
      <c r="E21" s="40">
        <v>16</v>
      </c>
      <c r="F21" s="40">
        <v>16</v>
      </c>
      <c r="G21" s="40">
        <v>16</v>
      </c>
      <c r="H21" s="40">
        <v>6</v>
      </c>
      <c r="I21" s="40">
        <f>VLOOKUP(C21,$A$2:$F$8,4,FALSE)-SUM(D21:H21)</f>
        <v>0</v>
      </c>
      <c r="J21" s="40">
        <v>2</v>
      </c>
      <c r="K21" s="40">
        <v>2</v>
      </c>
      <c r="L21" s="40">
        <v>2</v>
      </c>
      <c r="M21" s="40">
        <v>2</v>
      </c>
      <c r="N21" s="40">
        <v>2</v>
      </c>
      <c r="O21" s="40">
        <f>VLOOKUP(C21,$A$2:$F$8,5,FALSE)-SUM(J21:N21)</f>
        <v>0</v>
      </c>
    </row>
    <row r="22" spans="1:15" x14ac:dyDescent="0.3">
      <c r="A22" s="40" t="s">
        <v>114</v>
      </c>
      <c r="B22" s="40" t="s">
        <v>125</v>
      </c>
      <c r="C22" s="40">
        <v>2</v>
      </c>
      <c r="D22" s="40">
        <v>20</v>
      </c>
      <c r="E22" s="40">
        <v>12</v>
      </c>
      <c r="F22" s="40">
        <v>14</v>
      </c>
      <c r="G22" s="40">
        <v>18</v>
      </c>
      <c r="H22" s="40">
        <v>6</v>
      </c>
      <c r="I22" s="40">
        <f t="shared" ref="I22:I25" si="5">VLOOKUP(C22,$A$2:$F$8,4,FALSE)-SUM(D22:H22)</f>
        <v>0</v>
      </c>
      <c r="J22" s="40">
        <v>2</v>
      </c>
      <c r="K22" s="40">
        <v>2</v>
      </c>
      <c r="L22" s="40">
        <v>2</v>
      </c>
      <c r="M22" s="40">
        <v>2</v>
      </c>
      <c r="N22" s="40">
        <v>2</v>
      </c>
      <c r="O22" s="40">
        <f t="shared" ref="O22:O25" si="6">VLOOKUP(C22,$A$2:$F$8,5,FALSE)-SUM(J22:N22)</f>
        <v>0</v>
      </c>
    </row>
    <row r="23" spans="1:15" x14ac:dyDescent="0.3">
      <c r="A23" s="40" t="s">
        <v>115</v>
      </c>
      <c r="B23" s="40" t="s">
        <v>126</v>
      </c>
      <c r="C23" s="40">
        <v>2</v>
      </c>
      <c r="D23" s="40">
        <v>12</v>
      </c>
      <c r="E23" s="40">
        <v>20</v>
      </c>
      <c r="F23" s="40">
        <v>18</v>
      </c>
      <c r="G23" s="40">
        <v>14</v>
      </c>
      <c r="H23" s="40">
        <v>6</v>
      </c>
      <c r="I23" s="40">
        <f t="shared" si="5"/>
        <v>0</v>
      </c>
      <c r="J23" s="40">
        <v>2</v>
      </c>
      <c r="K23" s="40">
        <v>2</v>
      </c>
      <c r="L23" s="40">
        <v>2</v>
      </c>
      <c r="M23" s="40">
        <v>2</v>
      </c>
      <c r="N23" s="40">
        <v>2</v>
      </c>
      <c r="O23" s="40">
        <f t="shared" si="6"/>
        <v>0</v>
      </c>
    </row>
    <row r="24" spans="1:15" x14ac:dyDescent="0.3">
      <c r="A24" s="40" t="s">
        <v>116</v>
      </c>
      <c r="B24" s="40" t="s">
        <v>127</v>
      </c>
      <c r="C24" s="40">
        <v>2</v>
      </c>
      <c r="D24" s="40">
        <v>14</v>
      </c>
      <c r="E24" s="40">
        <v>18</v>
      </c>
      <c r="F24" s="40">
        <v>20</v>
      </c>
      <c r="G24" s="40">
        <v>12</v>
      </c>
      <c r="H24" s="40">
        <v>6</v>
      </c>
      <c r="I24" s="40">
        <f t="shared" si="5"/>
        <v>0</v>
      </c>
      <c r="J24" s="40">
        <v>2</v>
      </c>
      <c r="K24" s="40">
        <v>2</v>
      </c>
      <c r="L24" s="40">
        <v>2</v>
      </c>
      <c r="M24" s="40">
        <v>2</v>
      </c>
      <c r="N24" s="40">
        <v>2</v>
      </c>
      <c r="O24" s="40">
        <f t="shared" si="6"/>
        <v>0</v>
      </c>
    </row>
    <row r="25" spans="1:15" x14ac:dyDescent="0.3">
      <c r="A25" s="40" t="s">
        <v>117</v>
      </c>
      <c r="B25" s="40" t="s">
        <v>128</v>
      </c>
      <c r="C25" s="40">
        <v>2</v>
      </c>
      <c r="D25" s="40">
        <v>18</v>
      </c>
      <c r="E25" s="40">
        <v>14</v>
      </c>
      <c r="F25" s="40">
        <v>12</v>
      </c>
      <c r="G25" s="40">
        <v>20</v>
      </c>
      <c r="H25" s="40">
        <v>6</v>
      </c>
      <c r="I25" s="40">
        <f t="shared" si="5"/>
        <v>0</v>
      </c>
      <c r="J25" s="40">
        <v>2</v>
      </c>
      <c r="K25" s="40">
        <v>2</v>
      </c>
      <c r="L25" s="40">
        <v>2</v>
      </c>
      <c r="M25" s="40">
        <v>2</v>
      </c>
      <c r="N25" s="40">
        <v>2</v>
      </c>
      <c r="O25" s="40">
        <f t="shared" si="6"/>
        <v>0</v>
      </c>
    </row>
    <row r="26" spans="1:15" x14ac:dyDescent="0.3">
      <c r="A26" s="41" t="s">
        <v>119</v>
      </c>
      <c r="B26" s="41" t="s">
        <v>124</v>
      </c>
      <c r="C26" s="41">
        <v>3</v>
      </c>
      <c r="D26" s="41">
        <v>19</v>
      </c>
      <c r="E26" s="41">
        <v>19</v>
      </c>
      <c r="F26" s="41">
        <v>19</v>
      </c>
      <c r="G26" s="41">
        <v>19</v>
      </c>
      <c r="H26" s="41">
        <v>9</v>
      </c>
      <c r="I26" s="41">
        <f>VLOOKUP(C26,$A$2:$F$8,4,FALSE)-SUM(D26:H26)</f>
        <v>0</v>
      </c>
      <c r="J26" s="41">
        <v>2</v>
      </c>
      <c r="K26" s="41">
        <v>2</v>
      </c>
      <c r="L26" s="41">
        <v>2</v>
      </c>
      <c r="M26" s="41">
        <v>2</v>
      </c>
      <c r="N26" s="41">
        <v>2</v>
      </c>
      <c r="O26" s="41">
        <f>VLOOKUP(C26,$A$2:$F$8,5,FALSE)-SUM(J26:N26)</f>
        <v>0</v>
      </c>
    </row>
    <row r="27" spans="1:15" x14ac:dyDescent="0.3">
      <c r="A27" s="41" t="s">
        <v>120</v>
      </c>
      <c r="B27" s="41" t="s">
        <v>125</v>
      </c>
      <c r="C27" s="41">
        <v>3</v>
      </c>
      <c r="D27" s="41">
        <v>22</v>
      </c>
      <c r="E27" s="41">
        <v>16</v>
      </c>
      <c r="F27" s="41">
        <v>18</v>
      </c>
      <c r="G27" s="41">
        <v>20</v>
      </c>
      <c r="H27" s="41">
        <v>9</v>
      </c>
      <c r="I27" s="41">
        <f t="shared" ref="I27:I30" si="7">VLOOKUP(C27,$A$2:$F$8,4,FALSE)-SUM(D27:H27)</f>
        <v>0</v>
      </c>
      <c r="J27" s="41">
        <v>2</v>
      </c>
      <c r="K27" s="41">
        <v>2</v>
      </c>
      <c r="L27" s="41">
        <v>2</v>
      </c>
      <c r="M27" s="41">
        <v>2</v>
      </c>
      <c r="N27" s="41">
        <v>2</v>
      </c>
      <c r="O27" s="41">
        <f t="shared" ref="O27:O30" si="8">VLOOKUP(C27,$A$2:$F$8,5,FALSE)-SUM(J27:N27)</f>
        <v>0</v>
      </c>
    </row>
    <row r="28" spans="1:15" x14ac:dyDescent="0.3">
      <c r="A28" s="41" t="s">
        <v>121</v>
      </c>
      <c r="B28" s="41" t="s">
        <v>126</v>
      </c>
      <c r="C28" s="41">
        <v>3</v>
      </c>
      <c r="D28" s="41">
        <v>16</v>
      </c>
      <c r="E28" s="41">
        <v>22</v>
      </c>
      <c r="F28" s="41">
        <v>20</v>
      </c>
      <c r="G28" s="41">
        <v>18</v>
      </c>
      <c r="H28" s="41">
        <v>9</v>
      </c>
      <c r="I28" s="41">
        <f t="shared" si="7"/>
        <v>0</v>
      </c>
      <c r="J28" s="41">
        <v>2</v>
      </c>
      <c r="K28" s="41">
        <v>2</v>
      </c>
      <c r="L28" s="41">
        <v>2</v>
      </c>
      <c r="M28" s="41">
        <v>2</v>
      </c>
      <c r="N28" s="41">
        <v>2</v>
      </c>
      <c r="O28" s="41">
        <f t="shared" si="8"/>
        <v>0</v>
      </c>
    </row>
    <row r="29" spans="1:15" x14ac:dyDescent="0.3">
      <c r="A29" s="41" t="s">
        <v>122</v>
      </c>
      <c r="B29" s="41" t="s">
        <v>127</v>
      </c>
      <c r="C29" s="41">
        <v>3</v>
      </c>
      <c r="D29" s="41">
        <v>18</v>
      </c>
      <c r="E29" s="41">
        <v>20</v>
      </c>
      <c r="F29" s="41">
        <v>22</v>
      </c>
      <c r="G29" s="41">
        <v>16</v>
      </c>
      <c r="H29" s="41">
        <v>9</v>
      </c>
      <c r="I29" s="41">
        <f t="shared" si="7"/>
        <v>0</v>
      </c>
      <c r="J29" s="41">
        <v>2</v>
      </c>
      <c r="K29" s="41">
        <v>2</v>
      </c>
      <c r="L29" s="41">
        <v>2</v>
      </c>
      <c r="M29" s="41">
        <v>2</v>
      </c>
      <c r="N29" s="41">
        <v>2</v>
      </c>
      <c r="O29" s="41">
        <f t="shared" si="8"/>
        <v>0</v>
      </c>
    </row>
    <row r="30" spans="1:15" x14ac:dyDescent="0.3">
      <c r="A30" s="41" t="s">
        <v>123</v>
      </c>
      <c r="B30" s="41" t="s">
        <v>128</v>
      </c>
      <c r="C30" s="41">
        <v>3</v>
      </c>
      <c r="D30" s="41">
        <v>20</v>
      </c>
      <c r="E30" s="41">
        <v>18</v>
      </c>
      <c r="F30" s="41">
        <v>16</v>
      </c>
      <c r="G30" s="41">
        <v>22</v>
      </c>
      <c r="H30" s="41">
        <v>9</v>
      </c>
      <c r="I30" s="41">
        <f t="shared" si="7"/>
        <v>0</v>
      </c>
      <c r="J30" s="41">
        <v>2</v>
      </c>
      <c r="K30" s="41">
        <v>2</v>
      </c>
      <c r="L30" s="41">
        <v>2</v>
      </c>
      <c r="M30" s="41">
        <v>2</v>
      </c>
      <c r="N30" s="41">
        <v>2</v>
      </c>
      <c r="O30" s="41">
        <f t="shared" si="8"/>
        <v>0</v>
      </c>
    </row>
    <row r="31" spans="1:15" x14ac:dyDescent="0.3">
      <c r="A31" t="s">
        <v>161</v>
      </c>
      <c r="B31" t="s">
        <v>156</v>
      </c>
      <c r="C31">
        <v>4</v>
      </c>
      <c r="D31">
        <v>22</v>
      </c>
      <c r="E31">
        <v>22</v>
      </c>
      <c r="F31">
        <v>22</v>
      </c>
      <c r="G31">
        <v>22</v>
      </c>
      <c r="H31">
        <v>12</v>
      </c>
      <c r="I31">
        <f t="shared" ref="I31:I35" si="9">VLOOKUP(C31,$A$2:$F$8,4,FALSE)-SUM(D31:H31)</f>
        <v>0</v>
      </c>
      <c r="J31">
        <v>2</v>
      </c>
      <c r="K31">
        <v>2</v>
      </c>
      <c r="L31">
        <v>2</v>
      </c>
      <c r="M31">
        <v>2</v>
      </c>
      <c r="N31">
        <v>2</v>
      </c>
      <c r="O31">
        <f t="shared" ref="O31:O35" si="10">VLOOKUP(C31,$A$2:$F$8,5,FALSE)-SUM(J31:N31)</f>
        <v>0</v>
      </c>
    </row>
    <row r="32" spans="1:15" x14ac:dyDescent="0.3">
      <c r="A32" t="s">
        <v>162</v>
      </c>
      <c r="B32" t="s">
        <v>157</v>
      </c>
      <c r="C32">
        <v>4</v>
      </c>
      <c r="D32">
        <v>25</v>
      </c>
      <c r="E32">
        <v>19</v>
      </c>
      <c r="F32">
        <v>21</v>
      </c>
      <c r="G32">
        <v>23</v>
      </c>
      <c r="H32">
        <v>12</v>
      </c>
      <c r="I32">
        <f t="shared" si="9"/>
        <v>0</v>
      </c>
      <c r="J32">
        <v>2</v>
      </c>
      <c r="K32">
        <v>2</v>
      </c>
      <c r="L32">
        <v>2</v>
      </c>
      <c r="M32">
        <v>2</v>
      </c>
      <c r="N32">
        <v>2</v>
      </c>
      <c r="O32">
        <f t="shared" si="10"/>
        <v>0</v>
      </c>
    </row>
    <row r="33" spans="1:15" x14ac:dyDescent="0.3">
      <c r="A33" t="s">
        <v>163</v>
      </c>
      <c r="B33" t="s">
        <v>158</v>
      </c>
      <c r="C33">
        <v>4</v>
      </c>
      <c r="D33">
        <v>19</v>
      </c>
      <c r="E33">
        <v>25</v>
      </c>
      <c r="F33">
        <v>23</v>
      </c>
      <c r="G33">
        <v>21</v>
      </c>
      <c r="H33">
        <v>12</v>
      </c>
      <c r="I33">
        <f t="shared" si="9"/>
        <v>0</v>
      </c>
      <c r="J33">
        <v>2</v>
      </c>
      <c r="K33">
        <v>2</v>
      </c>
      <c r="L33">
        <v>2</v>
      </c>
      <c r="M33">
        <v>2</v>
      </c>
      <c r="N33">
        <v>2</v>
      </c>
      <c r="O33">
        <f t="shared" si="10"/>
        <v>0</v>
      </c>
    </row>
    <row r="34" spans="1:15" x14ac:dyDescent="0.3">
      <c r="A34" t="s">
        <v>164</v>
      </c>
      <c r="B34" t="s">
        <v>159</v>
      </c>
      <c r="C34">
        <v>4</v>
      </c>
      <c r="D34">
        <v>21</v>
      </c>
      <c r="E34">
        <v>23</v>
      </c>
      <c r="F34">
        <v>25</v>
      </c>
      <c r="G34">
        <v>19</v>
      </c>
      <c r="H34">
        <v>12</v>
      </c>
      <c r="I34">
        <f t="shared" si="9"/>
        <v>0</v>
      </c>
      <c r="J34">
        <v>2</v>
      </c>
      <c r="K34">
        <v>2</v>
      </c>
      <c r="L34">
        <v>2</v>
      </c>
      <c r="M34">
        <v>2</v>
      </c>
      <c r="N34">
        <v>2</v>
      </c>
      <c r="O34">
        <f t="shared" si="10"/>
        <v>0</v>
      </c>
    </row>
    <row r="35" spans="1:15" x14ac:dyDescent="0.3">
      <c r="A35" t="s">
        <v>165</v>
      </c>
      <c r="B35" t="s">
        <v>160</v>
      </c>
      <c r="C35">
        <v>4</v>
      </c>
      <c r="D35">
        <v>23</v>
      </c>
      <c r="E35">
        <v>21</v>
      </c>
      <c r="F35">
        <v>19</v>
      </c>
      <c r="G35">
        <v>25</v>
      </c>
      <c r="H35">
        <v>12</v>
      </c>
      <c r="I35">
        <f t="shared" si="9"/>
        <v>0</v>
      </c>
      <c r="J35">
        <v>2</v>
      </c>
      <c r="K35">
        <v>2</v>
      </c>
      <c r="L35">
        <v>2</v>
      </c>
      <c r="M35">
        <v>2</v>
      </c>
      <c r="N35">
        <v>2</v>
      </c>
      <c r="O35">
        <f t="shared" si="10"/>
        <v>0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DOC History</vt:lpstr>
      <vt:lpstr>Definition</vt:lpstr>
      <vt:lpstr>Data</vt:lpstr>
      <vt:lpstr>Type</vt:lpstr>
      <vt:lpstr>밸런스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 동언</dc:creator>
  <cp:lastModifiedBy>DongEon</cp:lastModifiedBy>
  <cp:lastPrinted>2014-11-19T16:49:27Z</cp:lastPrinted>
  <dcterms:created xsi:type="dcterms:W3CDTF">2013-05-14T06:15:02Z</dcterms:created>
  <dcterms:modified xsi:type="dcterms:W3CDTF">2016-12-01T21:38:07Z</dcterms:modified>
</cp:coreProperties>
</file>