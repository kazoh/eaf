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45" windowWidth="19215" windowHeight="1213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Data!$A$1:$P$2</definedName>
  </definedNames>
  <calcPr calcId="145621"/>
</workbook>
</file>

<file path=xl/calcChain.xml><?xml version="1.0" encoding="utf-8"?>
<calcChain xmlns="http://schemas.openxmlformats.org/spreadsheetml/2006/main">
  <c r="D16" i="8" l="1"/>
  <c r="E16" i="8" s="1"/>
  <c r="D13" i="8"/>
  <c r="E13" i="8" s="1"/>
  <c r="D21" i="8" l="1"/>
  <c r="E21" i="8" s="1"/>
  <c r="D3" i="8" l="1"/>
  <c r="E3" i="8" s="1"/>
  <c r="D36" i="8" l="1"/>
  <c r="E36" i="8" s="1"/>
  <c r="D35" i="8"/>
  <c r="E35" i="8" s="1"/>
  <c r="D34" i="8"/>
  <c r="E34" i="8" s="1"/>
  <c r="D33" i="8"/>
  <c r="E33" i="8" s="1"/>
  <c r="D32" i="8"/>
  <c r="E32" i="8" s="1"/>
  <c r="D31" i="8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0" i="8" l="1"/>
  <c r="E20" i="8" s="1"/>
  <c r="D17" i="8" l="1"/>
  <c r="E17" i="8" s="1"/>
  <c r="D18" i="8"/>
  <c r="E18" i="8" s="1"/>
  <c r="D19" i="8"/>
  <c r="E19" i="8" s="1"/>
  <c r="D22" i="8"/>
  <c r="E22" i="8" s="1"/>
  <c r="D23" i="8"/>
  <c r="E23" i="8" s="1"/>
  <c r="D24" i="8"/>
  <c r="E24" i="8" s="1"/>
  <c r="D14" i="8" l="1"/>
  <c r="E14" i="8" s="1"/>
  <c r="D15" i="8"/>
  <c r="E15" i="8" s="1"/>
  <c r="D12" i="8"/>
  <c r="E12" i="8" s="1"/>
  <c r="D4" i="8" l="1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2" i="8"/>
  <c r="E2" i="8" s="1"/>
</calcChain>
</file>

<file path=xl/sharedStrings.xml><?xml version="1.0" encoding="utf-8"?>
<sst xmlns="http://schemas.openxmlformats.org/spreadsheetml/2006/main" count="353" uniqueCount="243">
  <si>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</si>
  <si>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</si>
  <si>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</si>
  <si>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</si>
  <si>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</si>
  <si>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</si>
  <si>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</si>
  <si>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</si>
  <si>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</si>
  <si>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</si>
  <si>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</si>
  <si>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</si>
  <si>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</si>
  <si>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</si>
  <si>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</si>
  <si>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</si>
  <si>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</si>
  <si>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</si>
  <si>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</si>
  <si>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</si>
  <si>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</si>
  <si>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</si>
  <si>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</si>
  <si>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</si>
  <si>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</si>
  <si>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</si>
  <si>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</si>
  <si>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</si>
  <si>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</si>
  <si>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</si>
  <si>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</si>
  <si>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</si>
  <si>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</si>
  <si>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</si>
  <si>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None</t>
  </si>
  <si>
    <t>Price</t>
    <phoneticPr fontId="1" type="noConversion"/>
  </si>
  <si>
    <t>Icon</t>
    <phoneticPr fontId="1" type="noConversion"/>
  </si>
  <si>
    <t>개수</t>
    <phoneticPr fontId="1" type="noConversion"/>
  </si>
  <si>
    <t>제품 타입</t>
    <phoneticPr fontId="1" type="noConversion"/>
  </si>
  <si>
    <t>통화</t>
    <phoneticPr fontId="1" type="noConversion"/>
  </si>
  <si>
    <t>가격</t>
    <phoneticPr fontId="1" type="noConversion"/>
  </si>
  <si>
    <t>아이콘</t>
    <phoneticPr fontId="1" type="noConversion"/>
  </si>
  <si>
    <t>Icon</t>
    <phoneticPr fontId="1" type="noConversion"/>
  </si>
  <si>
    <t>화폐 종류</t>
    <phoneticPr fontId="1" type="noConversion"/>
  </si>
  <si>
    <t>가격</t>
    <phoneticPr fontId="1" type="noConversion"/>
  </si>
  <si>
    <t>아이콘</t>
    <phoneticPr fontId="1" type="noConversion"/>
  </si>
  <si>
    <t>Cash</t>
  </si>
  <si>
    <t>Cash</t>
    <phoneticPr fontId="1" type="noConversion"/>
  </si>
  <si>
    <t>CashToGold</t>
  </si>
  <si>
    <t>CashToGold</t>
    <phoneticPr fontId="1" type="noConversion"/>
  </si>
  <si>
    <t>CashToCoin</t>
  </si>
  <si>
    <t>CashToCoin</t>
    <phoneticPr fontId="1" type="noConversion"/>
  </si>
  <si>
    <t>CoinToKey</t>
  </si>
  <si>
    <t>CoinToKey</t>
    <phoneticPr fontId="1" type="noConversion"/>
  </si>
  <si>
    <t>Summon</t>
  </si>
  <si>
    <t>Summon</t>
    <phoneticPr fontId="1" type="noConversion"/>
  </si>
  <si>
    <t>가격(엔)</t>
    <phoneticPr fontId="1" type="noConversion"/>
  </si>
  <si>
    <t>가격(원)</t>
    <phoneticPr fontId="1" type="noConversion"/>
  </si>
  <si>
    <t>가격(달러)</t>
    <phoneticPr fontId="1" type="noConversion"/>
  </si>
  <si>
    <t>float</t>
    <phoneticPr fontId="1" type="noConversion"/>
  </si>
  <si>
    <t>달러 가격</t>
    <phoneticPr fontId="1" type="noConversion"/>
  </si>
  <si>
    <t>엔화 가격</t>
    <phoneticPr fontId="1" type="noConversion"/>
  </si>
  <si>
    <t>원화 가격</t>
    <phoneticPr fontId="1" type="noConversion"/>
  </si>
  <si>
    <t>Currency</t>
    <phoneticPr fontId="1" type="noConversion"/>
  </si>
  <si>
    <t>Currency</t>
    <phoneticPr fontId="1" type="noConversion"/>
  </si>
  <si>
    <t>Price</t>
    <phoneticPr fontId="1" type="noConversion"/>
  </si>
  <si>
    <t>Price_USD</t>
    <phoneticPr fontId="1" type="noConversion"/>
  </si>
  <si>
    <t>Price_USD</t>
    <phoneticPr fontId="1" type="noConversion"/>
  </si>
  <si>
    <t>Price_YEN</t>
    <phoneticPr fontId="1" type="noConversion"/>
  </si>
  <si>
    <t>Price_YEN</t>
    <phoneticPr fontId="1" type="noConversion"/>
  </si>
  <si>
    <t>Price_WON</t>
    <phoneticPr fontId="1" type="noConversion"/>
  </si>
  <si>
    <t>Price_WON</t>
    <phoneticPr fontId="1" type="noConversion"/>
  </si>
  <si>
    <t>Num</t>
    <phoneticPr fontId="1" type="noConversion"/>
  </si>
  <si>
    <t>Num</t>
    <phoneticPr fontId="1" type="noConversion"/>
  </si>
  <si>
    <t>캐시 10개</t>
    <phoneticPr fontId="1" type="noConversion"/>
  </si>
  <si>
    <t>캐시 100 + 20개</t>
    <phoneticPr fontId="1" type="noConversion"/>
  </si>
  <si>
    <t>캐시 50 + 5개</t>
    <phoneticPr fontId="1" type="noConversion"/>
  </si>
  <si>
    <t>goods_cash_01</t>
    <phoneticPr fontId="1" type="noConversion"/>
  </si>
  <si>
    <t>goods_cash_02</t>
  </si>
  <si>
    <t>goods_cash_03</t>
  </si>
  <si>
    <t>goods_cash_04</t>
  </si>
  <si>
    <t>goods_cash_05</t>
  </si>
  <si>
    <t>MoneyType</t>
    <phoneticPr fontId="1" type="noConversion"/>
  </si>
  <si>
    <t>None</t>
    <phoneticPr fontId="1" type="noConversion"/>
  </si>
  <si>
    <t>Gold</t>
    <phoneticPr fontId="1" type="noConversion"/>
  </si>
  <si>
    <t>Key</t>
    <phoneticPr fontId="1" type="noConversion"/>
  </si>
  <si>
    <t>Coin</t>
  </si>
  <si>
    <t>Coin</t>
    <phoneticPr fontId="1" type="noConversion"/>
  </si>
  <si>
    <t>Cash</t>
    <phoneticPr fontId="1" type="noConversion"/>
  </si>
  <si>
    <t>캐시 1000 + 500개</t>
    <phoneticPr fontId="1" type="noConversion"/>
  </si>
  <si>
    <t>캐시 500 + 150개</t>
    <phoneticPr fontId="1" type="noConversion"/>
  </si>
  <si>
    <t>충전 5개</t>
    <phoneticPr fontId="1" type="noConversion"/>
  </si>
  <si>
    <t>충전 10개</t>
    <phoneticPr fontId="1" type="noConversion"/>
  </si>
  <si>
    <t>goods_recharge_01</t>
    <phoneticPr fontId="1" type="noConversion"/>
  </si>
  <si>
    <t>goods_recharge_02</t>
  </si>
  <si>
    <t>무료 충전 10개</t>
    <phoneticPr fontId="1" type="noConversion"/>
  </si>
  <si>
    <t>goods_recharge_03</t>
  </si>
  <si>
    <t>goods_exchange_01</t>
    <phoneticPr fontId="1" type="noConversion"/>
  </si>
  <si>
    <t>goods_exchange_02</t>
  </si>
  <si>
    <t>goods_exchange_03</t>
  </si>
  <si>
    <t>goods_exchange_04</t>
  </si>
  <si>
    <t>1성 랜덤 소환</t>
    <phoneticPr fontId="1" type="noConversion"/>
  </si>
  <si>
    <t>2성 랜덤 소환</t>
    <phoneticPr fontId="1" type="noConversion"/>
  </si>
  <si>
    <t>3성 랜덤 소환</t>
    <phoneticPr fontId="1" type="noConversion"/>
  </si>
  <si>
    <t>array</t>
    <phoneticPr fontId="1" type="noConversion"/>
  </si>
  <si>
    <t>string</t>
    <phoneticPr fontId="1" type="noConversion"/>
  </si>
  <si>
    <t>NULL</t>
    <phoneticPr fontId="1" type="noConversion"/>
  </si>
  <si>
    <t>EndArray</t>
    <phoneticPr fontId="1" type="noConversion"/>
  </si>
  <si>
    <t>end</t>
  </si>
  <si>
    <t>NULL</t>
  </si>
  <si>
    <t>Cha_Array</t>
    <phoneticPr fontId="1" type="noConversion"/>
  </si>
  <si>
    <t>Character</t>
    <phoneticPr fontId="1" type="noConversion"/>
  </si>
  <si>
    <t>캐릭터 이름</t>
    <phoneticPr fontId="1" type="noConversion"/>
  </si>
  <si>
    <t>캐릭터 배열</t>
    <phoneticPr fontId="1" type="noConversion"/>
  </si>
  <si>
    <t>캐릭터 배열 끝</t>
    <phoneticPr fontId="1" type="noConversion"/>
  </si>
  <si>
    <t>소환인 경우 소환될 캐릭터 배열</t>
    <phoneticPr fontId="1" type="noConversion"/>
  </si>
  <si>
    <t>캐릭터 데이터 이름</t>
    <phoneticPr fontId="1" type="noConversion"/>
  </si>
  <si>
    <t>Character_1</t>
    <phoneticPr fontId="1" type="noConversion"/>
  </si>
  <si>
    <t>Character_2</t>
  </si>
  <si>
    <t>Character_3</t>
  </si>
  <si>
    <t>Character_4</t>
  </si>
  <si>
    <t>Character_5</t>
  </si>
  <si>
    <t>Character_6</t>
  </si>
  <si>
    <t>Character_7</t>
  </si>
  <si>
    <t>Character_8</t>
  </si>
  <si>
    <t>Character_9</t>
  </si>
  <si>
    <t>Character_10</t>
  </si>
  <si>
    <t>goods_summon_01</t>
    <phoneticPr fontId="1" type="noConversion"/>
  </si>
  <si>
    <t>goods_summon_02</t>
  </si>
  <si>
    <t>goods_summon_03</t>
  </si>
  <si>
    <t>goods_summon_04</t>
  </si>
  <si>
    <t>goods_summon_05</t>
  </si>
  <si>
    <t>goods_summon_06</t>
  </si>
  <si>
    <t>icon_goods_10</t>
    <phoneticPr fontId="1" type="noConversion"/>
  </si>
  <si>
    <t>icon_goods_06</t>
    <phoneticPr fontId="1" type="noConversion"/>
  </si>
  <si>
    <t>icon_goods_07</t>
  </si>
  <si>
    <t>icon_goods_08</t>
  </si>
  <si>
    <t>icon_goods_09</t>
  </si>
  <si>
    <t>icon_goods_12</t>
    <phoneticPr fontId="1" type="noConversion"/>
  </si>
  <si>
    <t>icon_goods_11</t>
    <phoneticPr fontId="1" type="noConversion"/>
  </si>
  <si>
    <t>icon_goods_04</t>
    <phoneticPr fontId="1" type="noConversion"/>
  </si>
  <si>
    <t>icon_goods_03</t>
    <phoneticPr fontId="1" type="noConversion"/>
  </si>
  <si>
    <t>icon_goods_01</t>
    <phoneticPr fontId="1" type="noConversion"/>
  </si>
  <si>
    <t>icon_goods_05</t>
    <phoneticPr fontId="1" type="noConversion"/>
  </si>
  <si>
    <t>icon_goods_13</t>
    <phoneticPr fontId="1" type="noConversion"/>
  </si>
  <si>
    <t>icon_goods_14</t>
  </si>
  <si>
    <t>icon_goods_15</t>
  </si>
  <si>
    <t>icon_goods_19</t>
    <phoneticPr fontId="1" type="noConversion"/>
  </si>
  <si>
    <t>cha_d_0001</t>
    <phoneticPr fontId="1" type="noConversion"/>
  </si>
  <si>
    <t>cha_d_0002</t>
  </si>
  <si>
    <t>cha_d_0003</t>
  </si>
  <si>
    <t>cha_d_0004</t>
  </si>
  <si>
    <t>cha_d_0005</t>
  </si>
  <si>
    <t>cha_c_0001</t>
    <phoneticPr fontId="1" type="noConversion"/>
  </si>
  <si>
    <t>cha_b_0001</t>
    <phoneticPr fontId="1" type="noConversion"/>
  </si>
  <si>
    <t>cha_c_0002</t>
  </si>
  <si>
    <t>cha_c_0003</t>
  </si>
  <si>
    <t>cha_c_0004</t>
  </si>
  <si>
    <t>cha_c_0005</t>
  </si>
  <si>
    <t>cha_b_0002</t>
  </si>
  <si>
    <t>cha_b_0003</t>
  </si>
  <si>
    <t>cha_b_0004</t>
  </si>
  <si>
    <t>cha_b_0005</t>
  </si>
  <si>
    <t>cha_d_0001</t>
    <phoneticPr fontId="1" type="noConversion"/>
  </si>
  <si>
    <t>4성 랜덤 소환</t>
  </si>
  <si>
    <t>cha_a_0001</t>
    <phoneticPr fontId="1" type="noConversion"/>
  </si>
  <si>
    <t>cha_a_0002</t>
  </si>
  <si>
    <t>cha_a_0003</t>
  </si>
  <si>
    <t>cha_a_0004</t>
  </si>
  <si>
    <t>cha_a_0005</t>
  </si>
  <si>
    <t>카인 소환</t>
    <phoneticPr fontId="1" type="noConversion"/>
  </si>
  <si>
    <t>아돌 소환</t>
    <phoneticPr fontId="1" type="noConversion"/>
  </si>
  <si>
    <t>샤나 소환</t>
    <phoneticPr fontId="1" type="noConversion"/>
  </si>
  <si>
    <t>스메라기 소환</t>
    <phoneticPr fontId="1" type="noConversion"/>
  </si>
  <si>
    <t>아스란 소환</t>
    <phoneticPr fontId="1" type="noConversion"/>
  </si>
  <si>
    <t>유고 소환</t>
    <phoneticPr fontId="1" type="noConversion"/>
  </si>
  <si>
    <t>미하엘 소환</t>
    <phoneticPr fontId="1" type="noConversion"/>
  </si>
  <si>
    <t>다임 소환</t>
    <phoneticPr fontId="1" type="noConversion"/>
  </si>
  <si>
    <t>후미코 소환</t>
    <phoneticPr fontId="1" type="noConversion"/>
  </si>
  <si>
    <t>키라 소환</t>
    <phoneticPr fontId="1" type="noConversion"/>
  </si>
  <si>
    <t>메이슨 소환</t>
    <phoneticPr fontId="1" type="noConversion"/>
  </si>
  <si>
    <t>발자르 소환</t>
    <phoneticPr fontId="1" type="noConversion"/>
  </si>
  <si>
    <t>세실 소환</t>
    <phoneticPr fontId="1" type="noConversion"/>
  </si>
  <si>
    <t>에밀리오 소환</t>
    <phoneticPr fontId="1" type="noConversion"/>
  </si>
  <si>
    <t>조슈아 소환</t>
    <phoneticPr fontId="1" type="noConversion"/>
  </si>
  <si>
    <t>goods_summon_07</t>
  </si>
  <si>
    <t>goods_summon_08</t>
  </si>
  <si>
    <t>goods_summon_09</t>
  </si>
  <si>
    <t>goods_summon_10</t>
  </si>
  <si>
    <t>goods_summon_11</t>
  </si>
  <si>
    <t>goods_summon_12</t>
  </si>
  <si>
    <t>goods_summon_13</t>
  </si>
  <si>
    <t>goods_summon_14</t>
  </si>
  <si>
    <t>goods_summon_15</t>
  </si>
  <si>
    <t>goods_summon_16</t>
  </si>
  <si>
    <t>goods_summon_17</t>
  </si>
  <si>
    <t>goods_summon_18</t>
  </si>
  <si>
    <t>goods_summon_19</t>
  </si>
  <si>
    <t>icon_goods_16</t>
    <phoneticPr fontId="1" type="noConversion"/>
  </si>
  <si>
    <t>icon_goods_17</t>
    <phoneticPr fontId="1" type="noConversion"/>
  </si>
  <si>
    <t>icon_goods_18</t>
    <phoneticPr fontId="1" type="noConversion"/>
  </si>
  <si>
    <t>icon_goods_19</t>
  </si>
  <si>
    <t>icon_goods_20</t>
  </si>
  <si>
    <t>icon_goods_21</t>
  </si>
  <si>
    <t>icon_goods_23</t>
    <phoneticPr fontId="1" type="noConversion"/>
  </si>
  <si>
    <t>icon_goods_22</t>
    <phoneticPr fontId="1" type="noConversion"/>
  </si>
  <si>
    <t>icon_goods_24</t>
    <phoneticPr fontId="1" type="noConversion"/>
  </si>
  <si>
    <t>icon_goods_25</t>
  </si>
  <si>
    <t>icon_goods_26</t>
  </si>
  <si>
    <t>icon_goods_27</t>
  </si>
  <si>
    <t>icon_goods_28</t>
  </si>
  <si>
    <t>icon_goods_29</t>
  </si>
  <si>
    <t>icon_goods_30</t>
  </si>
  <si>
    <t>icon_goods_31</t>
  </si>
  <si>
    <t>리스트 번호</t>
    <phoneticPr fontId="1" type="noConversion"/>
  </si>
  <si>
    <t>환전 20만 골드</t>
    <phoneticPr fontId="1" type="noConversion"/>
  </si>
  <si>
    <t>환전 200만 골드</t>
    <phoneticPr fontId="1" type="noConversion"/>
  </si>
  <si>
    <t>환전 코인 5개</t>
    <phoneticPr fontId="1" type="noConversion"/>
  </si>
  <si>
    <t>환전 코인 50개</t>
    <phoneticPr fontId="1" type="noConversion"/>
  </si>
  <si>
    <t>VIP 등급</t>
    <phoneticPr fontId="1" type="noConversion"/>
  </si>
  <si>
    <t>VIP</t>
    <phoneticPr fontId="1" type="noConversion"/>
  </si>
  <si>
    <t>int</t>
    <phoneticPr fontId="1" type="noConversion"/>
  </si>
  <si>
    <t>VIP</t>
    <phoneticPr fontId="1" type="noConversion"/>
  </si>
  <si>
    <t>제품 아이디</t>
    <phoneticPr fontId="1" type="noConversion"/>
  </si>
  <si>
    <t>Product_Id</t>
    <phoneticPr fontId="1" type="noConversion"/>
  </si>
  <si>
    <t>IAP 제품 ID</t>
    <phoneticPr fontId="1" type="noConversion"/>
  </si>
  <si>
    <t>구매 제한 횟수</t>
    <phoneticPr fontId="1" type="noConversion"/>
  </si>
  <si>
    <t>Buy_Limit</t>
    <phoneticPr fontId="1" type="noConversion"/>
  </si>
  <si>
    <t>int</t>
    <phoneticPr fontId="1" type="noConversion"/>
  </si>
  <si>
    <t>Buy_Limit</t>
    <phoneticPr fontId="1" type="noConversion"/>
  </si>
  <si>
    <t>캐시 10 + 10개</t>
    <phoneticPr fontId="1" type="noConversion"/>
  </si>
  <si>
    <t>goods_cash_06</t>
    <phoneticPr fontId="1" type="noConversion"/>
  </si>
  <si>
    <t>goods_summon_20</t>
    <phoneticPr fontId="1" type="noConversion"/>
  </si>
  <si>
    <t>4성 5회 소환</t>
    <phoneticPr fontId="1" type="noConversion"/>
  </si>
  <si>
    <t>icon_goods_32</t>
    <phoneticPr fontId="1" type="noConversion"/>
  </si>
  <si>
    <t>제품 개수, 소환의 경우 소환 횟수</t>
    <phoneticPr fontId="1" type="noConversion"/>
  </si>
  <si>
    <t>환전 2000만 골드</t>
    <phoneticPr fontId="1" type="noConversion"/>
  </si>
  <si>
    <t>환전 코인 500개</t>
    <phoneticPr fontId="1" type="noConversion"/>
  </si>
  <si>
    <t>goods_exchange_05</t>
  </si>
  <si>
    <t>goods_exchange_06</t>
    <phoneticPr fontId="1" type="noConversion"/>
  </si>
  <si>
    <t>cha_a_0006</t>
  </si>
  <si>
    <t>cha_a_0007</t>
  </si>
  <si>
    <t>cha_s_0001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</si>
</sst>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3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3" xfId="0" applyFont="1" applyBorder="1">
      <alignment vertical="center"/>
    </xf>
    <xf numFmtId="0" fontId="2" fillId="2" borderId="25" xfId="0" applyFont="1" applyFill="1" applyBorder="1" applyAlignment="1">
      <alignment vertical="center" wrapText="1"/>
    </xf>
    <xf numFmtId="0" fontId="2" fillId="2" borderId="25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7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5"/>
  <sheetViews>
    <sheetView workbookViewId="0">
      <selection activeCell="E26" sqref="E26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214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30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26" t="s">
        <v>38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223</v>
      </c>
      <c r="C8" s="25" t="s">
        <v>224</v>
      </c>
      <c r="D8" s="20" t="s">
        <v>13</v>
      </c>
      <c r="E8" s="20">
        <v>0</v>
      </c>
      <c r="F8" s="20">
        <v>0</v>
      </c>
      <c r="G8" s="20">
        <v>6</v>
      </c>
      <c r="H8" s="26" t="s">
        <v>225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226</v>
      </c>
      <c r="C9" s="25" t="s">
        <v>227</v>
      </c>
      <c r="D9" s="20" t="s">
        <v>228</v>
      </c>
      <c r="E9" s="20">
        <v>0</v>
      </c>
      <c r="F9" s="20">
        <v>0</v>
      </c>
      <c r="G9" s="20">
        <v>1</v>
      </c>
      <c r="H9" s="26" t="s">
        <v>226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219</v>
      </c>
      <c r="C10" s="25" t="s">
        <v>220</v>
      </c>
      <c r="D10" s="20" t="s">
        <v>221</v>
      </c>
      <c r="E10" s="20">
        <v>0</v>
      </c>
      <c r="F10" s="20">
        <v>0</v>
      </c>
      <c r="G10" s="20">
        <v>10</v>
      </c>
      <c r="H10" s="26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39</v>
      </c>
      <c r="C11" s="25" t="s">
        <v>63</v>
      </c>
      <c r="D11" s="20" t="s">
        <v>14</v>
      </c>
      <c r="E11" s="20" t="s">
        <v>15</v>
      </c>
      <c r="F11" s="20">
        <v>0</v>
      </c>
      <c r="G11" s="20">
        <v>32</v>
      </c>
      <c r="H11" s="26" t="s">
        <v>43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40</v>
      </c>
      <c r="C12" s="25" t="s">
        <v>65</v>
      </c>
      <c r="D12" s="20" t="s">
        <v>13</v>
      </c>
      <c r="E12" s="20">
        <v>0</v>
      </c>
      <c r="F12" s="20">
        <v>0</v>
      </c>
      <c r="G12" s="20">
        <v>99999999</v>
      </c>
      <c r="H12" s="26" t="s">
        <v>44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58</v>
      </c>
      <c r="C13" s="25" t="s">
        <v>66</v>
      </c>
      <c r="D13" s="20" t="s">
        <v>59</v>
      </c>
      <c r="E13" s="20">
        <v>0</v>
      </c>
      <c r="F13" s="20">
        <v>0</v>
      </c>
      <c r="G13" s="20">
        <v>99999999</v>
      </c>
      <c r="H13" s="26" t="s">
        <v>60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56</v>
      </c>
      <c r="C14" s="25" t="s">
        <v>68</v>
      </c>
      <c r="D14" s="20" t="s">
        <v>13</v>
      </c>
      <c r="E14" s="20">
        <v>0</v>
      </c>
      <c r="F14" s="20">
        <v>0</v>
      </c>
      <c r="G14" s="20">
        <v>99999999</v>
      </c>
      <c r="H14" s="26" t="s">
        <v>61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57</v>
      </c>
      <c r="C15" s="25" t="s">
        <v>70</v>
      </c>
      <c r="D15" s="20" t="s">
        <v>13</v>
      </c>
      <c r="E15" s="20">
        <v>0</v>
      </c>
      <c r="F15" s="20">
        <v>0</v>
      </c>
      <c r="G15" s="20">
        <v>99999999</v>
      </c>
      <c r="H15" s="26" t="s">
        <v>62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37</v>
      </c>
      <c r="C16" s="25" t="s">
        <v>72</v>
      </c>
      <c r="D16" s="20" t="s">
        <v>13</v>
      </c>
      <c r="E16" s="20">
        <v>0</v>
      </c>
      <c r="F16" s="20">
        <v>0</v>
      </c>
      <c r="G16" s="20">
        <v>99999999</v>
      </c>
      <c r="H16" s="26" t="s">
        <v>235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41</v>
      </c>
      <c r="C17" s="25" t="s">
        <v>42</v>
      </c>
      <c r="D17" s="20" t="s">
        <v>14</v>
      </c>
      <c r="E17" s="20" t="s">
        <v>15</v>
      </c>
      <c r="F17" s="20">
        <v>0</v>
      </c>
      <c r="G17" s="20">
        <v>32</v>
      </c>
      <c r="H17" s="38" t="s">
        <v>45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113</v>
      </c>
      <c r="C18" s="25" t="s">
        <v>110</v>
      </c>
      <c r="D18" s="25" t="s">
        <v>104</v>
      </c>
      <c r="E18" s="25">
        <v>10</v>
      </c>
      <c r="F18" s="25">
        <v>1</v>
      </c>
      <c r="G18" s="20">
        <v>10</v>
      </c>
      <c r="H18" s="39" t="s">
        <v>115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112</v>
      </c>
      <c r="C19" s="25" t="s">
        <v>111</v>
      </c>
      <c r="D19" s="25" t="s">
        <v>105</v>
      </c>
      <c r="E19" s="25" t="s">
        <v>106</v>
      </c>
      <c r="F19" s="25">
        <v>0</v>
      </c>
      <c r="G19" s="20">
        <v>32</v>
      </c>
      <c r="H19" s="39" t="s">
        <v>116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114</v>
      </c>
      <c r="C20" s="25" t="s">
        <v>107</v>
      </c>
      <c r="D20" s="25" t="s">
        <v>108</v>
      </c>
      <c r="E20" s="25" t="s">
        <v>109</v>
      </c>
      <c r="F20" s="25">
        <v>0</v>
      </c>
      <c r="G20" s="20">
        <v>0</v>
      </c>
      <c r="H20" s="39"/>
      <c r="I20" s="1"/>
      <c r="J20" s="1"/>
      <c r="K20" s="1"/>
      <c r="L20" s="1"/>
      <c r="M20" s="1"/>
      <c r="N20" s="1"/>
      <c r="O20" s="1"/>
      <c r="P20" s="1"/>
    </row>
    <row r="21" spans="1:16" ht="17.25" thickBot="1" x14ac:dyDescent="0.35">
      <c r="A21" s="21"/>
      <c r="B21" s="22"/>
      <c r="C21" s="22"/>
      <c r="D21" s="22"/>
      <c r="E21" s="22"/>
      <c r="F21" s="22"/>
      <c r="G21" s="22"/>
      <c r="H21" s="7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23"/>
      <c r="B22" s="23"/>
      <c r="C22" s="23"/>
      <c r="D22" s="23"/>
      <c r="E22" s="23"/>
      <c r="F22" s="23"/>
      <c r="G22" s="23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23"/>
      <c r="B23" s="23"/>
      <c r="C23" s="23"/>
      <c r="D23" s="23"/>
      <c r="E23" s="23"/>
      <c r="F23" s="23"/>
      <c r="G23" s="23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23"/>
      <c r="B24" s="23"/>
      <c r="C24" s="23"/>
      <c r="D24" s="23"/>
      <c r="E24" s="23"/>
      <c r="F24" s="23"/>
      <c r="G24" s="23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Z36"/>
  <sheetViews>
    <sheetView tabSelected="1" workbookViewId="0">
      <pane ySplit="1" topLeftCell="A11" activePane="bottomLeft" state="frozen"/>
      <selection activeCell="E1" sqref="E1"/>
      <selection pane="bottomLeft" activeCell="A21" sqref="A21:XFD21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bestFit="1" customWidth="1"/>
    <col min="4" max="5" width="27.625" style="36" bestFit="1" customWidth="1"/>
    <col min="6" max="6" width="12.25" style="36" bestFit="1" customWidth="1"/>
    <col min="7" max="7" width="6.125" style="36" bestFit="1" customWidth="1"/>
    <col min="8" max="8" width="6.125" style="36" customWidth="1"/>
    <col min="9" max="12" width="6.125" style="36" bestFit="1" customWidth="1"/>
    <col min="13" max="13" width="7.5" style="36" bestFit="1" customWidth="1"/>
    <col min="14" max="14" width="11.25" style="36" customWidth="1"/>
    <col min="15" max="15" width="9.25" style="36" customWidth="1"/>
    <col min="16" max="16" width="18.375" style="36" customWidth="1"/>
    <col min="17" max="26" width="18.375" style="36" bestFit="1" customWidth="1"/>
    <col min="27" max="16384" width="9" style="32"/>
  </cols>
  <sheetData>
    <row r="1" spans="1:26" x14ac:dyDescent="0.3">
      <c r="A1" s="28" t="s">
        <v>16</v>
      </c>
      <c r="B1" s="28" t="s">
        <v>22</v>
      </c>
      <c r="C1" s="29" t="s">
        <v>9</v>
      </c>
      <c r="D1" s="28" t="s">
        <v>18</v>
      </c>
      <c r="E1" s="28" t="s">
        <v>19</v>
      </c>
      <c r="F1" s="28" t="s">
        <v>5</v>
      </c>
      <c r="G1" s="30" t="s">
        <v>224</v>
      </c>
      <c r="H1" s="30" t="s">
        <v>229</v>
      </c>
      <c r="I1" s="30" t="s">
        <v>222</v>
      </c>
      <c r="J1" s="30" t="s">
        <v>64</v>
      </c>
      <c r="K1" s="30" t="s">
        <v>35</v>
      </c>
      <c r="L1" s="30" t="s">
        <v>67</v>
      </c>
      <c r="M1" s="30" t="s">
        <v>69</v>
      </c>
      <c r="N1" s="30" t="s">
        <v>71</v>
      </c>
      <c r="O1" s="31" t="s">
        <v>73</v>
      </c>
      <c r="P1" s="31" t="s">
        <v>36</v>
      </c>
      <c r="Q1" s="31" t="s">
        <v>117</v>
      </c>
      <c r="R1" s="31" t="s">
        <v>118</v>
      </c>
      <c r="S1" s="31" t="s">
        <v>119</v>
      </c>
      <c r="T1" s="31" t="s">
        <v>120</v>
      </c>
      <c r="U1" s="31" t="s">
        <v>121</v>
      </c>
      <c r="V1" s="31" t="s">
        <v>122</v>
      </c>
      <c r="W1" s="31" t="s">
        <v>123</v>
      </c>
      <c r="X1" s="31" t="s">
        <v>124</v>
      </c>
      <c r="Y1" s="31" t="s">
        <v>125</v>
      </c>
      <c r="Z1" s="31" t="s">
        <v>126</v>
      </c>
    </row>
    <row r="2" spans="1:26" x14ac:dyDescent="0.3">
      <c r="A2" s="33">
        <v>1</v>
      </c>
      <c r="B2" s="34" t="s">
        <v>74</v>
      </c>
      <c r="C2" s="35" t="s">
        <v>77</v>
      </c>
      <c r="D2" s="33" t="str">
        <f>"STR_"&amp;UPPER(C2)</f>
        <v>STR_GOODS_CASH_01</v>
      </c>
      <c r="E2" s="33" t="str">
        <f>D2&amp;"_DESC"</f>
        <v>STR_GOODS_CASH_01_DESC</v>
      </c>
      <c r="F2" s="33" t="s">
        <v>46</v>
      </c>
      <c r="G2" s="33">
        <v>1</v>
      </c>
      <c r="H2" s="33"/>
      <c r="I2" s="33">
        <v>0</v>
      </c>
      <c r="J2" s="33" t="s">
        <v>34</v>
      </c>
      <c r="K2" s="33">
        <v>0</v>
      </c>
      <c r="L2" s="33">
        <v>0.99</v>
      </c>
      <c r="M2" s="33">
        <v>100</v>
      </c>
      <c r="N2" s="33">
        <v>1000</v>
      </c>
      <c r="O2" s="33">
        <v>10</v>
      </c>
      <c r="P2" s="36" t="s">
        <v>133</v>
      </c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x14ac:dyDescent="0.3">
      <c r="A3" s="33">
        <v>1</v>
      </c>
      <c r="B3" s="34" t="s">
        <v>230</v>
      </c>
      <c r="C3" s="35" t="s">
        <v>231</v>
      </c>
      <c r="D3" s="33" t="str">
        <f>"STR_"&amp;UPPER(C3)</f>
        <v>STR_GOODS_CASH_06</v>
      </c>
      <c r="E3" s="33" t="str">
        <f>D3&amp;"_DESC"</f>
        <v>STR_GOODS_CASH_06_DESC</v>
      </c>
      <c r="F3" s="33" t="s">
        <v>46</v>
      </c>
      <c r="G3" s="33">
        <v>6</v>
      </c>
      <c r="H3" s="33">
        <v>1</v>
      </c>
      <c r="I3" s="33">
        <v>0</v>
      </c>
      <c r="J3" s="33" t="s">
        <v>34</v>
      </c>
      <c r="K3" s="33">
        <v>0</v>
      </c>
      <c r="L3" s="33">
        <v>0.99</v>
      </c>
      <c r="M3" s="33">
        <v>100</v>
      </c>
      <c r="N3" s="33">
        <v>1000</v>
      </c>
      <c r="O3" s="33">
        <v>20</v>
      </c>
      <c r="P3" s="36" t="s">
        <v>133</v>
      </c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x14ac:dyDescent="0.3">
      <c r="A4" s="33">
        <v>2</v>
      </c>
      <c r="B4" s="34" t="s">
        <v>76</v>
      </c>
      <c r="C4" s="35" t="s">
        <v>78</v>
      </c>
      <c r="D4" s="33" t="str">
        <f t="shared" ref="D4:D11" si="0">"STR_"&amp;UPPER(C4)</f>
        <v>STR_GOODS_CASH_02</v>
      </c>
      <c r="E4" s="33" t="str">
        <f t="shared" ref="E4:E11" si="1">D4&amp;"_DESC"</f>
        <v>STR_GOODS_CASH_02_DESC</v>
      </c>
      <c r="F4" s="33" t="s">
        <v>46</v>
      </c>
      <c r="G4" s="33">
        <v>2</v>
      </c>
      <c r="H4" s="33"/>
      <c r="I4" s="33">
        <v>1</v>
      </c>
      <c r="J4" s="33" t="s">
        <v>34</v>
      </c>
      <c r="K4" s="33">
        <v>0</v>
      </c>
      <c r="L4" s="33">
        <v>4.99</v>
      </c>
      <c r="M4" s="33">
        <v>500</v>
      </c>
      <c r="N4" s="33">
        <v>5000</v>
      </c>
      <c r="O4" s="33">
        <v>55</v>
      </c>
      <c r="P4" s="36" t="s">
        <v>134</v>
      </c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x14ac:dyDescent="0.3">
      <c r="A5" s="33">
        <v>3</v>
      </c>
      <c r="B5" s="34" t="s">
        <v>75</v>
      </c>
      <c r="C5" s="35" t="s">
        <v>79</v>
      </c>
      <c r="D5" s="33" t="str">
        <f t="shared" si="0"/>
        <v>STR_GOODS_CASH_03</v>
      </c>
      <c r="E5" s="33" t="str">
        <f t="shared" si="1"/>
        <v>STR_GOODS_CASH_03_DESC</v>
      </c>
      <c r="F5" s="33" t="s">
        <v>46</v>
      </c>
      <c r="G5" s="33">
        <v>3</v>
      </c>
      <c r="H5" s="33"/>
      <c r="I5" s="33">
        <v>2</v>
      </c>
      <c r="J5" s="33" t="s">
        <v>34</v>
      </c>
      <c r="K5" s="33">
        <v>0</v>
      </c>
      <c r="L5" s="33">
        <v>9.99</v>
      </c>
      <c r="M5" s="33">
        <v>1000</v>
      </c>
      <c r="N5" s="33">
        <v>10000</v>
      </c>
      <c r="O5" s="33">
        <v>120</v>
      </c>
      <c r="P5" s="36" t="s">
        <v>135</v>
      </c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x14ac:dyDescent="0.3">
      <c r="A6" s="33">
        <v>4</v>
      </c>
      <c r="B6" s="34" t="s">
        <v>90</v>
      </c>
      <c r="C6" s="35" t="s">
        <v>80</v>
      </c>
      <c r="D6" s="33" t="str">
        <f t="shared" si="0"/>
        <v>STR_GOODS_CASH_04</v>
      </c>
      <c r="E6" s="33" t="str">
        <f t="shared" si="1"/>
        <v>STR_GOODS_CASH_04_DESC</v>
      </c>
      <c r="F6" s="33" t="s">
        <v>46</v>
      </c>
      <c r="G6" s="33">
        <v>4</v>
      </c>
      <c r="H6" s="33"/>
      <c r="I6" s="33">
        <v>3</v>
      </c>
      <c r="J6" s="33" t="s">
        <v>34</v>
      </c>
      <c r="K6" s="33">
        <v>0</v>
      </c>
      <c r="L6" s="33">
        <v>49.99</v>
      </c>
      <c r="M6" s="33">
        <v>5000</v>
      </c>
      <c r="N6" s="33">
        <v>50000</v>
      </c>
      <c r="O6" s="33">
        <v>650</v>
      </c>
      <c r="P6" s="36" t="s">
        <v>136</v>
      </c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x14ac:dyDescent="0.3">
      <c r="A7" s="33">
        <v>5</v>
      </c>
      <c r="B7" s="34" t="s">
        <v>89</v>
      </c>
      <c r="C7" s="35" t="s">
        <v>81</v>
      </c>
      <c r="D7" s="33" t="str">
        <f t="shared" si="0"/>
        <v>STR_GOODS_CASH_05</v>
      </c>
      <c r="E7" s="33" t="str">
        <f t="shared" si="1"/>
        <v>STR_GOODS_CASH_05_DESC</v>
      </c>
      <c r="F7" s="33" t="s">
        <v>46</v>
      </c>
      <c r="G7" s="33">
        <v>5</v>
      </c>
      <c r="H7" s="33"/>
      <c r="I7" s="33">
        <v>4</v>
      </c>
      <c r="J7" s="33" t="s">
        <v>34</v>
      </c>
      <c r="K7" s="33">
        <v>0</v>
      </c>
      <c r="L7" s="33">
        <v>99.99</v>
      </c>
      <c r="M7" s="33">
        <v>10000</v>
      </c>
      <c r="N7" s="33">
        <v>100000</v>
      </c>
      <c r="O7" s="33">
        <v>1500</v>
      </c>
      <c r="P7" s="36" t="s">
        <v>137</v>
      </c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x14ac:dyDescent="0.3">
      <c r="A8" s="33">
        <v>6</v>
      </c>
      <c r="B8" s="34" t="s">
        <v>91</v>
      </c>
      <c r="C8" s="35" t="s">
        <v>93</v>
      </c>
      <c r="D8" s="33" t="str">
        <f t="shared" si="0"/>
        <v>STR_GOODS_RECHARGE_01</v>
      </c>
      <c r="E8" s="33" t="str">
        <f t="shared" si="1"/>
        <v>STR_GOODS_RECHARGE_01_DESC</v>
      </c>
      <c r="F8" s="33" t="s">
        <v>52</v>
      </c>
      <c r="G8" s="33">
        <v>0</v>
      </c>
      <c r="H8" s="33"/>
      <c r="I8" s="33">
        <v>0</v>
      </c>
      <c r="J8" s="33" t="s">
        <v>86</v>
      </c>
      <c r="K8" s="33">
        <v>1</v>
      </c>
      <c r="L8" s="33">
        <v>0</v>
      </c>
      <c r="M8" s="33">
        <v>0</v>
      </c>
      <c r="N8" s="33">
        <v>0</v>
      </c>
      <c r="O8" s="33">
        <v>10</v>
      </c>
      <c r="P8" s="36" t="s">
        <v>138</v>
      </c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x14ac:dyDescent="0.3">
      <c r="A9" s="33">
        <v>7</v>
      </c>
      <c r="B9" s="34" t="s">
        <v>92</v>
      </c>
      <c r="C9" s="35" t="s">
        <v>94</v>
      </c>
      <c r="D9" s="33" t="str">
        <f t="shared" si="0"/>
        <v>STR_GOODS_RECHARGE_02</v>
      </c>
      <c r="E9" s="33" t="str">
        <f t="shared" si="1"/>
        <v>STR_GOODS_RECHARGE_02_DESC</v>
      </c>
      <c r="F9" s="33" t="s">
        <v>52</v>
      </c>
      <c r="G9" s="33">
        <v>0</v>
      </c>
      <c r="H9" s="33"/>
      <c r="I9" s="33">
        <v>0</v>
      </c>
      <c r="J9" s="33" t="s">
        <v>86</v>
      </c>
      <c r="K9" s="33">
        <v>2</v>
      </c>
      <c r="L9" s="33">
        <v>0</v>
      </c>
      <c r="M9" s="33">
        <v>0</v>
      </c>
      <c r="N9" s="33">
        <v>0</v>
      </c>
      <c r="O9" s="33">
        <v>20</v>
      </c>
      <c r="P9" s="36" t="s">
        <v>139</v>
      </c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x14ac:dyDescent="0.3">
      <c r="A10" s="33">
        <v>8</v>
      </c>
      <c r="B10" s="34" t="s">
        <v>95</v>
      </c>
      <c r="C10" s="35" t="s">
        <v>96</v>
      </c>
      <c r="D10" s="33" t="str">
        <f t="shared" si="0"/>
        <v>STR_GOODS_RECHARGE_03</v>
      </c>
      <c r="E10" s="33" t="str">
        <f t="shared" si="1"/>
        <v>STR_GOODS_RECHARGE_03_DESC</v>
      </c>
      <c r="F10" s="33" t="s">
        <v>52</v>
      </c>
      <c r="G10" s="33">
        <v>0</v>
      </c>
      <c r="H10" s="33"/>
      <c r="I10" s="33">
        <v>0</v>
      </c>
      <c r="J10" s="33" t="s">
        <v>86</v>
      </c>
      <c r="K10" s="33">
        <v>0</v>
      </c>
      <c r="L10" s="33">
        <v>0</v>
      </c>
      <c r="M10" s="33">
        <v>0</v>
      </c>
      <c r="N10" s="33">
        <v>0</v>
      </c>
      <c r="O10" s="33">
        <v>10</v>
      </c>
      <c r="P10" s="36" t="s">
        <v>147</v>
      </c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x14ac:dyDescent="0.3">
      <c r="A11" s="33">
        <v>9</v>
      </c>
      <c r="B11" s="34" t="s">
        <v>215</v>
      </c>
      <c r="C11" s="35" t="s">
        <v>97</v>
      </c>
      <c r="D11" s="33" t="str">
        <f t="shared" si="0"/>
        <v>STR_GOODS_EXCHANGE_01</v>
      </c>
      <c r="E11" s="33" t="str">
        <f t="shared" si="1"/>
        <v>STR_GOODS_EXCHANGE_01_DESC</v>
      </c>
      <c r="F11" s="33" t="s">
        <v>48</v>
      </c>
      <c r="G11" s="33">
        <v>0</v>
      </c>
      <c r="H11" s="33"/>
      <c r="I11" s="33">
        <v>0</v>
      </c>
      <c r="J11" s="33" t="s">
        <v>46</v>
      </c>
      <c r="K11" s="33">
        <v>1</v>
      </c>
      <c r="L11" s="33">
        <v>0</v>
      </c>
      <c r="M11" s="33">
        <v>0</v>
      </c>
      <c r="N11" s="33">
        <v>0</v>
      </c>
      <c r="O11" s="33">
        <v>200000</v>
      </c>
      <c r="P11" s="36" t="s">
        <v>141</v>
      </c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x14ac:dyDescent="0.3">
      <c r="A12" s="33">
        <v>10</v>
      </c>
      <c r="B12" s="34" t="s">
        <v>216</v>
      </c>
      <c r="C12" s="35" t="s">
        <v>98</v>
      </c>
      <c r="D12" s="33" t="str">
        <f t="shared" ref="D12" si="2">"STR_"&amp;UPPER(C12)</f>
        <v>STR_GOODS_EXCHANGE_02</v>
      </c>
      <c r="E12" s="33" t="str">
        <f t="shared" ref="E12" si="3">D12&amp;"_DESC"</f>
        <v>STR_GOODS_EXCHANGE_02_DESC</v>
      </c>
      <c r="F12" s="33" t="s">
        <v>48</v>
      </c>
      <c r="G12" s="33">
        <v>0</v>
      </c>
      <c r="H12" s="33"/>
      <c r="I12" s="33">
        <v>0</v>
      </c>
      <c r="J12" s="33" t="s">
        <v>46</v>
      </c>
      <c r="K12" s="33">
        <v>10</v>
      </c>
      <c r="L12" s="33">
        <v>0</v>
      </c>
      <c r="M12" s="33">
        <v>0</v>
      </c>
      <c r="N12" s="33">
        <v>0</v>
      </c>
      <c r="O12" s="33">
        <v>2000000</v>
      </c>
      <c r="P12" s="36" t="s">
        <v>142</v>
      </c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x14ac:dyDescent="0.3">
      <c r="A13" s="33">
        <v>11</v>
      </c>
      <c r="B13" s="34" t="s">
        <v>236</v>
      </c>
      <c r="C13" s="35" t="s">
        <v>239</v>
      </c>
      <c r="D13" s="33" t="str">
        <f t="shared" ref="D13" si="4">"STR_"&amp;UPPER(C13)</f>
        <v>STR_GOODS_EXCHANGE_06</v>
      </c>
      <c r="E13" s="33" t="str">
        <f t="shared" ref="E13" si="5">D13&amp;"_DESC"</f>
        <v>STR_GOODS_EXCHANGE_06_DESC</v>
      </c>
      <c r="F13" s="33" t="s">
        <v>48</v>
      </c>
      <c r="G13" s="33">
        <v>0</v>
      </c>
      <c r="H13" s="33"/>
      <c r="I13" s="33">
        <v>0</v>
      </c>
      <c r="J13" s="33" t="s">
        <v>46</v>
      </c>
      <c r="K13" s="33">
        <v>100</v>
      </c>
      <c r="L13" s="33">
        <v>0</v>
      </c>
      <c r="M13" s="33">
        <v>0</v>
      </c>
      <c r="N13" s="33">
        <v>0</v>
      </c>
      <c r="O13" s="33">
        <v>20000000</v>
      </c>
      <c r="P13" s="36" t="s">
        <v>142</v>
      </c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x14ac:dyDescent="0.3">
      <c r="A14" s="33">
        <v>12</v>
      </c>
      <c r="B14" s="34" t="s">
        <v>217</v>
      </c>
      <c r="C14" s="35" t="s">
        <v>99</v>
      </c>
      <c r="D14" s="33" t="str">
        <f t="shared" ref="D14:D15" si="6">"STR_"&amp;UPPER(C14)</f>
        <v>STR_GOODS_EXCHANGE_03</v>
      </c>
      <c r="E14" s="33" t="str">
        <f t="shared" ref="E14:E15" si="7">D14&amp;"_DESC"</f>
        <v>STR_GOODS_EXCHANGE_03_DESC</v>
      </c>
      <c r="F14" s="33" t="s">
        <v>50</v>
      </c>
      <c r="G14" s="33">
        <v>0</v>
      </c>
      <c r="H14" s="33"/>
      <c r="I14" s="33">
        <v>0</v>
      </c>
      <c r="J14" s="33" t="s">
        <v>46</v>
      </c>
      <c r="K14" s="33">
        <v>1</v>
      </c>
      <c r="L14" s="33">
        <v>0</v>
      </c>
      <c r="M14" s="33">
        <v>0</v>
      </c>
      <c r="N14" s="33">
        <v>0</v>
      </c>
      <c r="O14" s="33">
        <v>5</v>
      </c>
      <c r="P14" s="36" t="s">
        <v>143</v>
      </c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x14ac:dyDescent="0.3">
      <c r="A15" s="33">
        <v>13</v>
      </c>
      <c r="B15" s="34" t="s">
        <v>218</v>
      </c>
      <c r="C15" s="35" t="s">
        <v>100</v>
      </c>
      <c r="D15" s="33" t="str">
        <f t="shared" si="6"/>
        <v>STR_GOODS_EXCHANGE_04</v>
      </c>
      <c r="E15" s="33" t="str">
        <f t="shared" si="7"/>
        <v>STR_GOODS_EXCHANGE_04_DESC</v>
      </c>
      <c r="F15" s="33" t="s">
        <v>50</v>
      </c>
      <c r="G15" s="33">
        <v>0</v>
      </c>
      <c r="H15" s="33"/>
      <c r="I15" s="33">
        <v>0</v>
      </c>
      <c r="J15" s="33" t="s">
        <v>46</v>
      </c>
      <c r="K15" s="33">
        <v>10</v>
      </c>
      <c r="L15" s="33">
        <v>0</v>
      </c>
      <c r="M15" s="33">
        <v>0</v>
      </c>
      <c r="N15" s="33">
        <v>0</v>
      </c>
      <c r="O15" s="33">
        <v>50</v>
      </c>
      <c r="P15" s="36" t="s">
        <v>140</v>
      </c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x14ac:dyDescent="0.3">
      <c r="A16" s="33">
        <v>14</v>
      </c>
      <c r="B16" s="34" t="s">
        <v>237</v>
      </c>
      <c r="C16" s="35" t="s">
        <v>238</v>
      </c>
      <c r="D16" s="33" t="str">
        <f t="shared" ref="D16" si="8">"STR_"&amp;UPPER(C16)</f>
        <v>STR_GOODS_EXCHANGE_05</v>
      </c>
      <c r="E16" s="33" t="str">
        <f t="shared" ref="E16" si="9">D16&amp;"_DESC"</f>
        <v>STR_GOODS_EXCHANGE_05_DESC</v>
      </c>
      <c r="F16" s="33" t="s">
        <v>50</v>
      </c>
      <c r="G16" s="33">
        <v>0</v>
      </c>
      <c r="H16" s="33"/>
      <c r="I16" s="33">
        <v>0</v>
      </c>
      <c r="J16" s="33" t="s">
        <v>46</v>
      </c>
      <c r="K16" s="33">
        <v>100</v>
      </c>
      <c r="L16" s="33">
        <v>0</v>
      </c>
      <c r="M16" s="33">
        <v>0</v>
      </c>
      <c r="N16" s="33">
        <v>0</v>
      </c>
      <c r="O16" s="33">
        <v>500</v>
      </c>
      <c r="P16" s="36" t="s">
        <v>140</v>
      </c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4" x14ac:dyDescent="0.3">
      <c r="A17" s="33">
        <v>15</v>
      </c>
      <c r="B17" s="36" t="s">
        <v>101</v>
      </c>
      <c r="C17" s="37" t="s">
        <v>127</v>
      </c>
      <c r="D17" s="33" t="str">
        <f t="shared" ref="D17:D24" si="10">"STR_"&amp;UPPER(C17)</f>
        <v>STR_GOODS_SUMMON_01</v>
      </c>
      <c r="E17" s="33" t="str">
        <f t="shared" ref="E17:E24" si="11">D17&amp;"_DESC"</f>
        <v>STR_GOODS_SUMMON_01_DESC</v>
      </c>
      <c r="F17" s="33" t="s">
        <v>54</v>
      </c>
      <c r="G17" s="33">
        <v>0</v>
      </c>
      <c r="H17" s="33"/>
      <c r="I17" s="33">
        <v>0</v>
      </c>
      <c r="J17" s="33" t="s">
        <v>86</v>
      </c>
      <c r="K17" s="33">
        <v>1</v>
      </c>
      <c r="L17" s="33">
        <v>0</v>
      </c>
      <c r="M17" s="33">
        <v>0</v>
      </c>
      <c r="N17" s="33">
        <v>0</v>
      </c>
      <c r="O17" s="33">
        <v>1</v>
      </c>
      <c r="P17" s="36" t="s">
        <v>144</v>
      </c>
      <c r="Q17" s="36" t="s">
        <v>148</v>
      </c>
      <c r="R17" s="36" t="s">
        <v>149</v>
      </c>
      <c r="S17" s="36" t="s">
        <v>150</v>
      </c>
      <c r="T17" s="36" t="s">
        <v>151</v>
      </c>
      <c r="U17" s="36" t="s">
        <v>152</v>
      </c>
    </row>
    <row r="18" spans="1:24" x14ac:dyDescent="0.3">
      <c r="A18" s="33">
        <v>16</v>
      </c>
      <c r="B18" s="36" t="s">
        <v>102</v>
      </c>
      <c r="C18" s="37" t="s">
        <v>128</v>
      </c>
      <c r="D18" s="33" t="str">
        <f t="shared" si="10"/>
        <v>STR_GOODS_SUMMON_02</v>
      </c>
      <c r="E18" s="33" t="str">
        <f t="shared" si="11"/>
        <v>STR_GOODS_SUMMON_02_DESC</v>
      </c>
      <c r="F18" s="33" t="s">
        <v>54</v>
      </c>
      <c r="G18" s="33">
        <v>0</v>
      </c>
      <c r="H18" s="33"/>
      <c r="I18" s="33">
        <v>0</v>
      </c>
      <c r="J18" s="33" t="s">
        <v>86</v>
      </c>
      <c r="K18" s="33">
        <v>5</v>
      </c>
      <c r="L18" s="33">
        <v>0</v>
      </c>
      <c r="M18" s="33">
        <v>0</v>
      </c>
      <c r="N18" s="33">
        <v>0</v>
      </c>
      <c r="O18" s="33">
        <v>1</v>
      </c>
      <c r="P18" s="36" t="s">
        <v>145</v>
      </c>
      <c r="Q18" s="36" t="s">
        <v>153</v>
      </c>
      <c r="R18" s="36" t="s">
        <v>155</v>
      </c>
      <c r="S18" s="36" t="s">
        <v>156</v>
      </c>
      <c r="T18" s="36" t="s">
        <v>157</v>
      </c>
      <c r="U18" s="36" t="s">
        <v>158</v>
      </c>
    </row>
    <row r="19" spans="1:24" x14ac:dyDescent="0.3">
      <c r="A19" s="33">
        <v>17</v>
      </c>
      <c r="B19" s="36" t="s">
        <v>103</v>
      </c>
      <c r="C19" s="37" t="s">
        <v>129</v>
      </c>
      <c r="D19" s="33" t="str">
        <f t="shared" si="10"/>
        <v>STR_GOODS_SUMMON_03</v>
      </c>
      <c r="E19" s="33" t="str">
        <f t="shared" si="11"/>
        <v>STR_GOODS_SUMMON_03_DESC</v>
      </c>
      <c r="F19" s="33" t="s">
        <v>54</v>
      </c>
      <c r="G19" s="33">
        <v>0</v>
      </c>
      <c r="H19" s="33"/>
      <c r="I19" s="33">
        <v>0</v>
      </c>
      <c r="J19" s="33" t="s">
        <v>86</v>
      </c>
      <c r="K19" s="33">
        <v>25</v>
      </c>
      <c r="L19" s="33">
        <v>0</v>
      </c>
      <c r="M19" s="33">
        <v>0</v>
      </c>
      <c r="N19" s="33">
        <v>0</v>
      </c>
      <c r="O19" s="33">
        <v>1</v>
      </c>
      <c r="P19" s="36" t="s">
        <v>146</v>
      </c>
      <c r="Q19" s="36" t="s">
        <v>154</v>
      </c>
      <c r="R19" s="36" t="s">
        <v>159</v>
      </c>
      <c r="S19" s="36" t="s">
        <v>160</v>
      </c>
      <c r="T19" s="36" t="s">
        <v>161</v>
      </c>
      <c r="U19" s="36" t="s">
        <v>162</v>
      </c>
    </row>
    <row r="20" spans="1:24" x14ac:dyDescent="0.3">
      <c r="A20" s="33">
        <v>18</v>
      </c>
      <c r="B20" s="36" t="s">
        <v>164</v>
      </c>
      <c r="C20" s="37" t="s">
        <v>130</v>
      </c>
      <c r="D20" s="33" t="str">
        <f t="shared" ref="D20" si="12">"STR_"&amp;UPPER(C20)</f>
        <v>STR_GOODS_SUMMON_04</v>
      </c>
      <c r="E20" s="33" t="str">
        <f t="shared" ref="E20" si="13">D20&amp;"_DESC"</f>
        <v>STR_GOODS_SUMMON_04_DESC</v>
      </c>
      <c r="F20" s="33" t="s">
        <v>54</v>
      </c>
      <c r="G20" s="33">
        <v>0</v>
      </c>
      <c r="H20" s="33"/>
      <c r="I20" s="33">
        <v>0</v>
      </c>
      <c r="J20" s="33" t="s">
        <v>86</v>
      </c>
      <c r="K20" s="33">
        <v>125</v>
      </c>
      <c r="L20" s="33">
        <v>0</v>
      </c>
      <c r="M20" s="33">
        <v>0</v>
      </c>
      <c r="N20" s="33">
        <v>0</v>
      </c>
      <c r="O20" s="33">
        <v>1</v>
      </c>
      <c r="P20" s="36" t="s">
        <v>198</v>
      </c>
      <c r="Q20" s="36" t="s">
        <v>165</v>
      </c>
      <c r="R20" s="36" t="s">
        <v>166</v>
      </c>
      <c r="S20" s="36" t="s">
        <v>167</v>
      </c>
      <c r="T20" s="36" t="s">
        <v>168</v>
      </c>
      <c r="U20" s="36" t="s">
        <v>169</v>
      </c>
    </row>
    <row r="21" spans="1:24" x14ac:dyDescent="0.3">
      <c r="A21" s="33">
        <v>19</v>
      </c>
      <c r="B21" s="36" t="s">
        <v>233</v>
      </c>
      <c r="C21" s="37" t="s">
        <v>232</v>
      </c>
      <c r="D21" s="33" t="str">
        <f t="shared" ref="D21" si="14">"STR_"&amp;UPPER(C21)</f>
        <v>STR_GOODS_SUMMON_20</v>
      </c>
      <c r="E21" s="33" t="str">
        <f t="shared" ref="E21" si="15">D21&amp;"_DESC"</f>
        <v>STR_GOODS_SUMMON_20_DESC</v>
      </c>
      <c r="F21" s="33" t="s">
        <v>54</v>
      </c>
      <c r="G21" s="33">
        <v>0</v>
      </c>
      <c r="H21" s="33"/>
      <c r="I21" s="33">
        <v>0</v>
      </c>
      <c r="J21" s="33" t="s">
        <v>86</v>
      </c>
      <c r="K21" s="33">
        <v>625</v>
      </c>
      <c r="L21" s="33">
        <v>0</v>
      </c>
      <c r="M21" s="33">
        <v>0</v>
      </c>
      <c r="N21" s="33">
        <v>0</v>
      </c>
      <c r="O21" s="33">
        <v>5</v>
      </c>
      <c r="P21" s="36" t="s">
        <v>234</v>
      </c>
      <c r="Q21" s="36" t="s">
        <v>165</v>
      </c>
      <c r="R21" s="36" t="s">
        <v>166</v>
      </c>
      <c r="S21" s="36" t="s">
        <v>167</v>
      </c>
      <c r="T21" s="36" t="s">
        <v>168</v>
      </c>
      <c r="U21" s="36" t="s">
        <v>169</v>
      </c>
      <c r="V21" s="36" t="s">
        <v>240</v>
      </c>
      <c r="W21" s="36" t="s">
        <v>241</v>
      </c>
      <c r="X21" s="36" t="s">
        <v>242</v>
      </c>
    </row>
    <row r="22" spans="1:24" x14ac:dyDescent="0.3">
      <c r="A22" s="33">
        <v>20</v>
      </c>
      <c r="B22" s="34" t="s">
        <v>170</v>
      </c>
      <c r="C22" s="37" t="s">
        <v>131</v>
      </c>
      <c r="D22" s="33" t="str">
        <f t="shared" si="10"/>
        <v>STR_GOODS_SUMMON_05</v>
      </c>
      <c r="E22" s="33" t="str">
        <f t="shared" si="11"/>
        <v>STR_GOODS_SUMMON_05_DESC</v>
      </c>
      <c r="F22" s="33" t="s">
        <v>54</v>
      </c>
      <c r="G22" s="33">
        <v>0</v>
      </c>
      <c r="H22" s="33"/>
      <c r="I22" s="33">
        <v>0</v>
      </c>
      <c r="J22" s="33" t="s">
        <v>86</v>
      </c>
      <c r="K22" s="33">
        <v>3</v>
      </c>
      <c r="L22" s="33">
        <v>0</v>
      </c>
      <c r="M22" s="33">
        <v>0</v>
      </c>
      <c r="N22" s="33">
        <v>0</v>
      </c>
      <c r="O22" s="33">
        <v>1</v>
      </c>
      <c r="P22" s="36" t="s">
        <v>200</v>
      </c>
      <c r="Q22" s="36" t="s">
        <v>163</v>
      </c>
    </row>
    <row r="23" spans="1:24" x14ac:dyDescent="0.3">
      <c r="A23" s="33">
        <v>21</v>
      </c>
      <c r="B23" s="36" t="s">
        <v>171</v>
      </c>
      <c r="C23" s="37" t="s">
        <v>132</v>
      </c>
      <c r="D23" s="33" t="str">
        <f t="shared" si="10"/>
        <v>STR_GOODS_SUMMON_06</v>
      </c>
      <c r="E23" s="33" t="str">
        <f t="shared" si="11"/>
        <v>STR_GOODS_SUMMON_06_DESC</v>
      </c>
      <c r="F23" s="33" t="s">
        <v>54</v>
      </c>
      <c r="G23" s="33">
        <v>0</v>
      </c>
      <c r="H23" s="33"/>
      <c r="I23" s="33">
        <v>0</v>
      </c>
      <c r="J23" s="33" t="s">
        <v>86</v>
      </c>
      <c r="K23" s="33">
        <v>3</v>
      </c>
      <c r="L23" s="33">
        <v>0</v>
      </c>
      <c r="M23" s="33">
        <v>0</v>
      </c>
      <c r="N23" s="33">
        <v>0</v>
      </c>
      <c r="O23" s="33">
        <v>1</v>
      </c>
      <c r="P23" s="36" t="s">
        <v>201</v>
      </c>
      <c r="Q23" s="36" t="s">
        <v>149</v>
      </c>
    </row>
    <row r="24" spans="1:24" x14ac:dyDescent="0.3">
      <c r="A24" s="33">
        <v>22</v>
      </c>
      <c r="B24" s="36" t="s">
        <v>172</v>
      </c>
      <c r="C24" s="37" t="s">
        <v>185</v>
      </c>
      <c r="D24" s="33" t="str">
        <f t="shared" si="10"/>
        <v>STR_GOODS_SUMMON_07</v>
      </c>
      <c r="E24" s="33" t="str">
        <f t="shared" si="11"/>
        <v>STR_GOODS_SUMMON_07_DESC</v>
      </c>
      <c r="F24" s="33" t="s">
        <v>54</v>
      </c>
      <c r="G24" s="33">
        <v>0</v>
      </c>
      <c r="H24" s="33"/>
      <c r="I24" s="33">
        <v>0</v>
      </c>
      <c r="J24" s="33" t="s">
        <v>86</v>
      </c>
      <c r="K24" s="33">
        <v>3</v>
      </c>
      <c r="L24" s="33">
        <v>0</v>
      </c>
      <c r="M24" s="33">
        <v>0</v>
      </c>
      <c r="N24" s="33">
        <v>0</v>
      </c>
      <c r="O24" s="33">
        <v>1</v>
      </c>
      <c r="P24" s="36" t="s">
        <v>202</v>
      </c>
      <c r="Q24" s="36" t="s">
        <v>150</v>
      </c>
    </row>
    <row r="25" spans="1:24" x14ac:dyDescent="0.3">
      <c r="A25" s="33">
        <v>23</v>
      </c>
      <c r="B25" s="36" t="s">
        <v>173</v>
      </c>
      <c r="C25" s="37" t="s">
        <v>186</v>
      </c>
      <c r="D25" s="33" t="str">
        <f t="shared" ref="D25:D29" si="16">"STR_"&amp;UPPER(C25)</f>
        <v>STR_GOODS_SUMMON_08</v>
      </c>
      <c r="E25" s="33" t="str">
        <f t="shared" ref="E25:E29" si="17">D25&amp;"_DESC"</f>
        <v>STR_GOODS_SUMMON_08_DESC</v>
      </c>
      <c r="F25" s="33" t="s">
        <v>54</v>
      </c>
      <c r="G25" s="33">
        <v>0</v>
      </c>
      <c r="H25" s="33"/>
      <c r="I25" s="33">
        <v>0</v>
      </c>
      <c r="J25" s="33" t="s">
        <v>86</v>
      </c>
      <c r="K25" s="33">
        <v>3</v>
      </c>
      <c r="L25" s="33">
        <v>0</v>
      </c>
      <c r="M25" s="33">
        <v>0</v>
      </c>
      <c r="N25" s="33">
        <v>0</v>
      </c>
      <c r="O25" s="33">
        <v>1</v>
      </c>
      <c r="P25" s="36" t="s">
        <v>203</v>
      </c>
      <c r="Q25" s="36" t="s">
        <v>151</v>
      </c>
    </row>
    <row r="26" spans="1:24" x14ac:dyDescent="0.3">
      <c r="A26" s="33">
        <v>24</v>
      </c>
      <c r="B26" s="36" t="s">
        <v>174</v>
      </c>
      <c r="C26" s="37" t="s">
        <v>187</v>
      </c>
      <c r="D26" s="33" t="str">
        <f t="shared" si="16"/>
        <v>STR_GOODS_SUMMON_09</v>
      </c>
      <c r="E26" s="33" t="str">
        <f t="shared" si="17"/>
        <v>STR_GOODS_SUMMON_09_DESC</v>
      </c>
      <c r="F26" s="33" t="s">
        <v>54</v>
      </c>
      <c r="G26" s="33">
        <v>0</v>
      </c>
      <c r="H26" s="33"/>
      <c r="I26" s="33">
        <v>0</v>
      </c>
      <c r="J26" s="33" t="s">
        <v>86</v>
      </c>
      <c r="K26" s="33">
        <v>3</v>
      </c>
      <c r="L26" s="33">
        <v>0</v>
      </c>
      <c r="M26" s="33">
        <v>0</v>
      </c>
      <c r="N26" s="33">
        <v>0</v>
      </c>
      <c r="O26" s="33">
        <v>1</v>
      </c>
      <c r="P26" s="36" t="s">
        <v>199</v>
      </c>
      <c r="Q26" s="36" t="s">
        <v>152</v>
      </c>
    </row>
    <row r="27" spans="1:24" x14ac:dyDescent="0.3">
      <c r="A27" s="33">
        <v>25</v>
      </c>
      <c r="B27" s="34" t="s">
        <v>175</v>
      </c>
      <c r="C27" s="37" t="s">
        <v>188</v>
      </c>
      <c r="D27" s="33" t="str">
        <f t="shared" si="16"/>
        <v>STR_GOODS_SUMMON_10</v>
      </c>
      <c r="E27" s="33" t="str">
        <f t="shared" si="17"/>
        <v>STR_GOODS_SUMMON_10_DESC</v>
      </c>
      <c r="F27" s="33" t="s">
        <v>54</v>
      </c>
      <c r="G27" s="33">
        <v>0</v>
      </c>
      <c r="H27" s="33"/>
      <c r="I27" s="33">
        <v>1</v>
      </c>
      <c r="J27" s="33" t="s">
        <v>86</v>
      </c>
      <c r="K27" s="33">
        <v>15</v>
      </c>
      <c r="L27" s="33">
        <v>0</v>
      </c>
      <c r="M27" s="33">
        <v>0</v>
      </c>
      <c r="N27" s="33">
        <v>0</v>
      </c>
      <c r="O27" s="33">
        <v>1</v>
      </c>
      <c r="P27" s="36" t="s">
        <v>204</v>
      </c>
      <c r="Q27" s="36" t="s">
        <v>153</v>
      </c>
    </row>
    <row r="28" spans="1:24" x14ac:dyDescent="0.3">
      <c r="A28" s="33">
        <v>26</v>
      </c>
      <c r="B28" s="36" t="s">
        <v>176</v>
      </c>
      <c r="C28" s="37" t="s">
        <v>189</v>
      </c>
      <c r="D28" s="33" t="str">
        <f t="shared" si="16"/>
        <v>STR_GOODS_SUMMON_11</v>
      </c>
      <c r="E28" s="33" t="str">
        <f t="shared" si="17"/>
        <v>STR_GOODS_SUMMON_11_DESC</v>
      </c>
      <c r="F28" s="33" t="s">
        <v>54</v>
      </c>
      <c r="G28" s="33">
        <v>0</v>
      </c>
      <c r="H28" s="33"/>
      <c r="I28" s="33">
        <v>1</v>
      </c>
      <c r="J28" s="33" t="s">
        <v>86</v>
      </c>
      <c r="K28" s="33">
        <v>15</v>
      </c>
      <c r="L28" s="33">
        <v>0</v>
      </c>
      <c r="M28" s="33">
        <v>0</v>
      </c>
      <c r="N28" s="33">
        <v>0</v>
      </c>
      <c r="O28" s="33">
        <v>1</v>
      </c>
      <c r="P28" s="36" t="s">
        <v>205</v>
      </c>
      <c r="Q28" s="36" t="s">
        <v>155</v>
      </c>
    </row>
    <row r="29" spans="1:24" x14ac:dyDescent="0.3">
      <c r="A29" s="33">
        <v>27</v>
      </c>
      <c r="B29" s="36" t="s">
        <v>177</v>
      </c>
      <c r="C29" s="37" t="s">
        <v>190</v>
      </c>
      <c r="D29" s="33" t="str">
        <f t="shared" si="16"/>
        <v>STR_GOODS_SUMMON_12</v>
      </c>
      <c r="E29" s="33" t="str">
        <f t="shared" si="17"/>
        <v>STR_GOODS_SUMMON_12_DESC</v>
      </c>
      <c r="F29" s="33" t="s">
        <v>54</v>
      </c>
      <c r="G29" s="33">
        <v>0</v>
      </c>
      <c r="H29" s="33"/>
      <c r="I29" s="33">
        <v>1</v>
      </c>
      <c r="J29" s="33" t="s">
        <v>86</v>
      </c>
      <c r="K29" s="33">
        <v>15</v>
      </c>
      <c r="L29" s="33">
        <v>0</v>
      </c>
      <c r="M29" s="33">
        <v>0</v>
      </c>
      <c r="N29" s="33">
        <v>0</v>
      </c>
      <c r="O29" s="33">
        <v>1</v>
      </c>
      <c r="P29" s="36" t="s">
        <v>206</v>
      </c>
      <c r="Q29" s="36" t="s">
        <v>156</v>
      </c>
    </row>
    <row r="30" spans="1:24" x14ac:dyDescent="0.3">
      <c r="A30" s="33">
        <v>28</v>
      </c>
      <c r="B30" s="36" t="s">
        <v>178</v>
      </c>
      <c r="C30" s="37" t="s">
        <v>191</v>
      </c>
      <c r="D30" s="33" t="str">
        <f t="shared" ref="D30:D34" si="18">"STR_"&amp;UPPER(C30)</f>
        <v>STR_GOODS_SUMMON_13</v>
      </c>
      <c r="E30" s="33" t="str">
        <f t="shared" ref="E30:E34" si="19">D30&amp;"_DESC"</f>
        <v>STR_GOODS_SUMMON_13_DESC</v>
      </c>
      <c r="F30" s="33" t="s">
        <v>54</v>
      </c>
      <c r="G30" s="33">
        <v>0</v>
      </c>
      <c r="H30" s="33"/>
      <c r="I30" s="33">
        <v>1</v>
      </c>
      <c r="J30" s="33" t="s">
        <v>86</v>
      </c>
      <c r="K30" s="33">
        <v>15</v>
      </c>
      <c r="L30" s="33">
        <v>0</v>
      </c>
      <c r="M30" s="33">
        <v>0</v>
      </c>
      <c r="N30" s="33">
        <v>0</v>
      </c>
      <c r="O30" s="33">
        <v>1</v>
      </c>
      <c r="P30" s="36" t="s">
        <v>207</v>
      </c>
      <c r="Q30" s="36" t="s">
        <v>157</v>
      </c>
    </row>
    <row r="31" spans="1:24" x14ac:dyDescent="0.3">
      <c r="A31" s="33">
        <v>29</v>
      </c>
      <c r="B31" s="36" t="s">
        <v>179</v>
      </c>
      <c r="C31" s="37" t="s">
        <v>192</v>
      </c>
      <c r="D31" s="33" t="str">
        <f t="shared" si="18"/>
        <v>STR_GOODS_SUMMON_14</v>
      </c>
      <c r="E31" s="33" t="str">
        <f t="shared" si="19"/>
        <v>STR_GOODS_SUMMON_14_DESC</v>
      </c>
      <c r="F31" s="33" t="s">
        <v>54</v>
      </c>
      <c r="G31" s="33">
        <v>0</v>
      </c>
      <c r="H31" s="33"/>
      <c r="I31" s="33">
        <v>1</v>
      </c>
      <c r="J31" s="33" t="s">
        <v>86</v>
      </c>
      <c r="K31" s="33">
        <v>15</v>
      </c>
      <c r="L31" s="33">
        <v>0</v>
      </c>
      <c r="M31" s="33">
        <v>0</v>
      </c>
      <c r="N31" s="33">
        <v>0</v>
      </c>
      <c r="O31" s="33">
        <v>1</v>
      </c>
      <c r="P31" s="36" t="s">
        <v>208</v>
      </c>
      <c r="Q31" s="36" t="s">
        <v>158</v>
      </c>
    </row>
    <row r="32" spans="1:24" x14ac:dyDescent="0.3">
      <c r="A32" s="33">
        <v>30</v>
      </c>
      <c r="B32" s="34" t="s">
        <v>180</v>
      </c>
      <c r="C32" s="37" t="s">
        <v>193</v>
      </c>
      <c r="D32" s="33" t="str">
        <f t="shared" si="18"/>
        <v>STR_GOODS_SUMMON_15</v>
      </c>
      <c r="E32" s="33" t="str">
        <f t="shared" si="19"/>
        <v>STR_GOODS_SUMMON_15_DESC</v>
      </c>
      <c r="F32" s="33" t="s">
        <v>54</v>
      </c>
      <c r="G32" s="33">
        <v>0</v>
      </c>
      <c r="H32" s="33"/>
      <c r="I32" s="33">
        <v>2</v>
      </c>
      <c r="J32" s="33" t="s">
        <v>86</v>
      </c>
      <c r="K32" s="33">
        <v>75</v>
      </c>
      <c r="L32" s="33">
        <v>0</v>
      </c>
      <c r="M32" s="33">
        <v>0</v>
      </c>
      <c r="N32" s="33">
        <v>0</v>
      </c>
      <c r="O32" s="33">
        <v>1</v>
      </c>
      <c r="P32" s="36" t="s">
        <v>209</v>
      </c>
      <c r="Q32" s="36" t="s">
        <v>154</v>
      </c>
    </row>
    <row r="33" spans="1:17" x14ac:dyDescent="0.3">
      <c r="A33" s="33">
        <v>31</v>
      </c>
      <c r="B33" s="36" t="s">
        <v>181</v>
      </c>
      <c r="C33" s="37" t="s">
        <v>194</v>
      </c>
      <c r="D33" s="33" t="str">
        <f t="shared" si="18"/>
        <v>STR_GOODS_SUMMON_16</v>
      </c>
      <c r="E33" s="33" t="str">
        <f t="shared" si="19"/>
        <v>STR_GOODS_SUMMON_16_DESC</v>
      </c>
      <c r="F33" s="33" t="s">
        <v>54</v>
      </c>
      <c r="G33" s="33">
        <v>0</v>
      </c>
      <c r="H33" s="33"/>
      <c r="I33" s="33">
        <v>2</v>
      </c>
      <c r="J33" s="33" t="s">
        <v>86</v>
      </c>
      <c r="K33" s="33">
        <v>75</v>
      </c>
      <c r="L33" s="33">
        <v>0</v>
      </c>
      <c r="M33" s="33">
        <v>0</v>
      </c>
      <c r="N33" s="33">
        <v>0</v>
      </c>
      <c r="O33" s="33">
        <v>1</v>
      </c>
      <c r="P33" s="36" t="s">
        <v>210</v>
      </c>
      <c r="Q33" s="36" t="s">
        <v>159</v>
      </c>
    </row>
    <row r="34" spans="1:17" x14ac:dyDescent="0.3">
      <c r="A34" s="33">
        <v>32</v>
      </c>
      <c r="B34" s="36" t="s">
        <v>182</v>
      </c>
      <c r="C34" s="37" t="s">
        <v>195</v>
      </c>
      <c r="D34" s="33" t="str">
        <f t="shared" si="18"/>
        <v>STR_GOODS_SUMMON_17</v>
      </c>
      <c r="E34" s="33" t="str">
        <f t="shared" si="19"/>
        <v>STR_GOODS_SUMMON_17_DESC</v>
      </c>
      <c r="F34" s="33" t="s">
        <v>54</v>
      </c>
      <c r="G34" s="33">
        <v>0</v>
      </c>
      <c r="H34" s="33"/>
      <c r="I34" s="33">
        <v>2</v>
      </c>
      <c r="J34" s="33" t="s">
        <v>86</v>
      </c>
      <c r="K34" s="33">
        <v>75</v>
      </c>
      <c r="L34" s="33">
        <v>0</v>
      </c>
      <c r="M34" s="33">
        <v>0</v>
      </c>
      <c r="N34" s="33">
        <v>0</v>
      </c>
      <c r="O34" s="33">
        <v>1</v>
      </c>
      <c r="P34" s="36" t="s">
        <v>211</v>
      </c>
      <c r="Q34" s="36" t="s">
        <v>160</v>
      </c>
    </row>
    <row r="35" spans="1:17" x14ac:dyDescent="0.3">
      <c r="A35" s="33">
        <v>33</v>
      </c>
      <c r="B35" s="36" t="s">
        <v>183</v>
      </c>
      <c r="C35" s="37" t="s">
        <v>196</v>
      </c>
      <c r="D35" s="33" t="str">
        <f t="shared" ref="D35:D36" si="20">"STR_"&amp;UPPER(C35)</f>
        <v>STR_GOODS_SUMMON_18</v>
      </c>
      <c r="E35" s="33" t="str">
        <f t="shared" ref="E35:E36" si="21">D35&amp;"_DESC"</f>
        <v>STR_GOODS_SUMMON_18_DESC</v>
      </c>
      <c r="F35" s="33" t="s">
        <v>54</v>
      </c>
      <c r="G35" s="33">
        <v>0</v>
      </c>
      <c r="H35" s="33"/>
      <c r="I35" s="33">
        <v>2</v>
      </c>
      <c r="J35" s="33" t="s">
        <v>86</v>
      </c>
      <c r="K35" s="33">
        <v>75</v>
      </c>
      <c r="L35" s="33">
        <v>0</v>
      </c>
      <c r="M35" s="33">
        <v>0</v>
      </c>
      <c r="N35" s="33">
        <v>0</v>
      </c>
      <c r="O35" s="33">
        <v>1</v>
      </c>
      <c r="P35" s="36" t="s">
        <v>212</v>
      </c>
      <c r="Q35" s="36" t="s">
        <v>161</v>
      </c>
    </row>
    <row r="36" spans="1:17" x14ac:dyDescent="0.3">
      <c r="A36" s="33">
        <v>34</v>
      </c>
      <c r="B36" s="36" t="s">
        <v>184</v>
      </c>
      <c r="C36" s="37" t="s">
        <v>197</v>
      </c>
      <c r="D36" s="33" t="str">
        <f t="shared" si="20"/>
        <v>STR_GOODS_SUMMON_19</v>
      </c>
      <c r="E36" s="33" t="str">
        <f t="shared" si="21"/>
        <v>STR_GOODS_SUMMON_19_DESC</v>
      </c>
      <c r="F36" s="33" t="s">
        <v>54</v>
      </c>
      <c r="G36" s="33">
        <v>0</v>
      </c>
      <c r="H36" s="33"/>
      <c r="I36" s="33">
        <v>2</v>
      </c>
      <c r="J36" s="33" t="s">
        <v>86</v>
      </c>
      <c r="K36" s="33">
        <v>75</v>
      </c>
      <c r="L36" s="33">
        <v>0</v>
      </c>
      <c r="M36" s="33">
        <v>0</v>
      </c>
      <c r="N36" s="33">
        <v>0</v>
      </c>
      <c r="O36" s="33">
        <v>1</v>
      </c>
      <c r="P36" s="36" t="s">
        <v>213</v>
      </c>
      <c r="Q36" s="36" t="s">
        <v>162</v>
      </c>
    </row>
  </sheetData>
  <autoFilter ref="A1:P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Type!$A$2:$A$101</xm:f>
          </x14:formula1>
          <xm:sqref>F1:F1048576</xm:sqref>
        </x14:dataValidation>
        <x14:dataValidation type="list" allowBlank="1" showInputMessage="1" showErrorMessage="1">
          <x14:formula1>
            <xm:f>Type!$B$2:$B$26</xm:f>
          </x14:formula1>
          <xm:sqref>J2:J36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B7" sqref="B7"/>
    </sheetView>
  </sheetViews>
  <sheetFormatPr defaultRowHeight="16.5" x14ac:dyDescent="0.3"/>
  <sheetData>
    <row r="1" spans="1:16" x14ac:dyDescent="0.3">
      <c r="A1" s="1" t="s">
        <v>5</v>
      </c>
      <c r="B1" s="1" t="s">
        <v>82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47</v>
      </c>
      <c r="B2" s="1" t="s">
        <v>83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53</v>
      </c>
      <c r="B3" s="1" t="s">
        <v>84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49</v>
      </c>
      <c r="B4" s="1" t="s">
        <v>85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51</v>
      </c>
      <c r="B5" s="1" t="s">
        <v>87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55</v>
      </c>
      <c r="B6" s="1" t="s">
        <v>88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2016-11-15T04:08:49Z</dcterms:modified>
</cp:coreProperties>
</file>