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19215" windowHeight="1207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Data!$A$1:$AE$1</definedName>
  </definedNames>
  <calcPr calcId="145621"/>
</workbook>
</file>

<file path=xl/calcChain.xml><?xml version="1.0" encoding="utf-8"?>
<calcChain xmlns="http://schemas.openxmlformats.org/spreadsheetml/2006/main">
  <c r="D108" i="8" l="1"/>
  <c r="E108" i="8" s="1"/>
  <c r="D46" i="8" l="1"/>
  <c r="E46" i="8" s="1"/>
  <c r="D45" i="8"/>
  <c r="E45" i="8" s="1"/>
  <c r="D47" i="8"/>
  <c r="E47" i="8" s="1"/>
  <c r="D48" i="8"/>
  <c r="E48" i="8" s="1"/>
  <c r="D49" i="8"/>
  <c r="E49" i="8" s="1"/>
  <c r="D120" i="8" l="1"/>
  <c r="E120" i="8" s="1"/>
  <c r="D119" i="8"/>
  <c r="E119" i="8" s="1"/>
  <c r="D118" i="8"/>
  <c r="E118" i="8" s="1"/>
  <c r="D117" i="8"/>
  <c r="E117" i="8" s="1"/>
  <c r="D116" i="8" l="1"/>
  <c r="E116" i="8" s="1"/>
  <c r="D107" i="8"/>
  <c r="E107" i="8" s="1"/>
  <c r="D104" i="8" l="1"/>
  <c r="E104" i="8" s="1"/>
  <c r="D105" i="8"/>
  <c r="E105" i="8" s="1"/>
  <c r="D106" i="8"/>
  <c r="E106" i="8" s="1"/>
  <c r="D111" i="8"/>
  <c r="E111" i="8" s="1"/>
  <c r="D103" i="8" l="1"/>
  <c r="E103" i="8" s="1"/>
  <c r="D102" i="8" l="1"/>
  <c r="E102" i="8" s="1"/>
  <c r="D101" i="8"/>
  <c r="E101" i="8" s="1"/>
  <c r="D99" i="8" l="1"/>
  <c r="E99" i="8" s="1"/>
  <c r="D98" i="8"/>
  <c r="E98" i="8" s="1"/>
  <c r="D97" i="8"/>
  <c r="E97" i="8" s="1"/>
  <c r="D87" i="8"/>
  <c r="E87" i="8" s="1"/>
  <c r="D86" i="8"/>
  <c r="E86" i="8" s="1"/>
  <c r="D85" i="8"/>
  <c r="E85" i="8" s="1"/>
  <c r="D75" i="8"/>
  <c r="E75" i="8" s="1"/>
  <c r="D74" i="8"/>
  <c r="E74" i="8" s="1"/>
  <c r="D73" i="8"/>
  <c r="E73" i="8" s="1"/>
  <c r="D96" i="8"/>
  <c r="E96" i="8" s="1"/>
  <c r="D95" i="8"/>
  <c r="E95" i="8" s="1"/>
  <c r="D94" i="8"/>
  <c r="E94" i="8" s="1"/>
  <c r="D84" i="8"/>
  <c r="E84" i="8" s="1"/>
  <c r="D83" i="8"/>
  <c r="E83" i="8" s="1"/>
  <c r="D82" i="8"/>
  <c r="E82" i="8" s="1"/>
  <c r="D72" i="8"/>
  <c r="E72" i="8" s="1"/>
  <c r="D71" i="8"/>
  <c r="E71" i="8" s="1"/>
  <c r="D70" i="8"/>
  <c r="E70" i="8" s="1"/>
  <c r="D93" i="8"/>
  <c r="E93" i="8" s="1"/>
  <c r="D92" i="8"/>
  <c r="E92" i="8" s="1"/>
  <c r="D91" i="8"/>
  <c r="E91" i="8" s="1"/>
  <c r="D81" i="8"/>
  <c r="E81" i="8" s="1"/>
  <c r="D80" i="8"/>
  <c r="E80" i="8" s="1"/>
  <c r="D79" i="8"/>
  <c r="E79" i="8" s="1"/>
  <c r="D69" i="8"/>
  <c r="E69" i="8" s="1"/>
  <c r="D68" i="8"/>
  <c r="E68" i="8" s="1"/>
  <c r="D67" i="8"/>
  <c r="E67" i="8" s="1"/>
  <c r="D90" i="8"/>
  <c r="E90" i="8" s="1"/>
  <c r="D89" i="8"/>
  <c r="E89" i="8" s="1"/>
  <c r="D88" i="8"/>
  <c r="E88" i="8" s="1"/>
  <c r="D62" i="8"/>
  <c r="E62" i="8" s="1"/>
  <c r="D61" i="8"/>
  <c r="E61" i="8" s="1"/>
  <c r="D60" i="8"/>
  <c r="E60" i="8" s="1"/>
  <c r="D59" i="8"/>
  <c r="E59" i="8" s="1"/>
  <c r="D58" i="8"/>
  <c r="E58" i="8" s="1"/>
  <c r="D57" i="8"/>
  <c r="E57" i="8" s="1"/>
  <c r="D56" i="8"/>
  <c r="E56" i="8" s="1"/>
  <c r="D55" i="8"/>
  <c r="E55" i="8" s="1"/>
  <c r="D54" i="8"/>
  <c r="E54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1" i="8"/>
  <c r="E31" i="8" s="1"/>
  <c r="D30" i="8"/>
  <c r="E30" i="8" s="1"/>
  <c r="D29" i="8"/>
  <c r="E29" i="8" s="1"/>
  <c r="D19" i="8"/>
  <c r="E19" i="8" s="1"/>
  <c r="D18" i="8"/>
  <c r="E18" i="8" s="1"/>
  <c r="D17" i="8"/>
  <c r="E17" i="8" s="1"/>
  <c r="D28" i="8"/>
  <c r="E28" i="8" s="1"/>
  <c r="D27" i="8"/>
  <c r="E27" i="8" s="1"/>
  <c r="D26" i="8"/>
  <c r="E26" i="8" s="1"/>
  <c r="D16" i="8"/>
  <c r="E16" i="8" s="1"/>
  <c r="D15" i="8"/>
  <c r="E15" i="8" s="1"/>
  <c r="D14" i="8"/>
  <c r="E14" i="8" s="1"/>
  <c r="D25" i="8"/>
  <c r="E25" i="8" s="1"/>
  <c r="D24" i="8"/>
  <c r="E24" i="8" s="1"/>
  <c r="D23" i="8"/>
  <c r="E23" i="8" s="1"/>
  <c r="D13" i="8"/>
  <c r="E13" i="8" s="1"/>
  <c r="D12" i="8"/>
  <c r="E12" i="8" s="1"/>
  <c r="D11" i="8"/>
  <c r="E11" i="8" s="1"/>
  <c r="D78" i="8" l="1"/>
  <c r="E78" i="8" s="1"/>
  <c r="D77" i="8"/>
  <c r="E77" i="8" s="1"/>
  <c r="D76" i="8"/>
  <c r="E76" i="8" s="1"/>
  <c r="D66" i="8"/>
  <c r="E66" i="8" s="1"/>
  <c r="D65" i="8"/>
  <c r="E65" i="8" s="1"/>
  <c r="D64" i="8"/>
  <c r="E64" i="8" s="1"/>
  <c r="D53" i="8"/>
  <c r="E53" i="8" s="1"/>
  <c r="D52" i="8"/>
  <c r="E52" i="8" s="1"/>
  <c r="D51" i="8"/>
  <c r="E51" i="8" s="1"/>
  <c r="D35" i="8"/>
  <c r="E35" i="8" s="1"/>
  <c r="D34" i="8"/>
  <c r="E34" i="8" s="1"/>
  <c r="D33" i="8"/>
  <c r="E33" i="8" s="1"/>
  <c r="D22" i="8"/>
  <c r="E22" i="8" s="1"/>
  <c r="D10" i="8"/>
  <c r="E10" i="8" s="1"/>
  <c r="D21" i="8"/>
  <c r="E21" i="8" s="1"/>
  <c r="D20" i="8"/>
  <c r="E20" i="8" s="1"/>
  <c r="D9" i="8"/>
  <c r="E9" i="8" s="1"/>
  <c r="D8" i="8"/>
  <c r="E8" i="8" s="1"/>
  <c r="D6" i="8"/>
  <c r="E6" i="8" s="1"/>
  <c r="D5" i="8"/>
  <c r="E5" i="8" s="1"/>
  <c r="D4" i="8"/>
  <c r="E4" i="8" s="1"/>
  <c r="D115" i="8"/>
  <c r="E115" i="8" s="1"/>
  <c r="D114" i="8"/>
  <c r="E114" i="8" s="1"/>
  <c r="D113" i="8"/>
  <c r="E113" i="8" s="1"/>
  <c r="D112" i="8"/>
  <c r="E112" i="8" s="1"/>
  <c r="D110" i="8"/>
  <c r="E110" i="8" s="1"/>
  <c r="D109" i="8"/>
  <c r="E109" i="8" s="1"/>
  <c r="D100" i="8"/>
  <c r="E100" i="8" s="1"/>
  <c r="D63" i="8"/>
  <c r="E63" i="8" s="1"/>
  <c r="D50" i="8"/>
  <c r="E50" i="8" s="1"/>
  <c r="D32" i="8"/>
  <c r="E32" i="8" s="1"/>
  <c r="D7" i="8"/>
  <c r="E7" i="8" s="1"/>
  <c r="D3" i="8"/>
  <c r="E3" i="8" s="1"/>
  <c r="D2" i="8"/>
  <c r="E2" i="8" s="1"/>
</calcChain>
</file>

<file path=xl/sharedStrings.xml><?xml version="1.0" encoding="utf-8"?>
<sst xmlns="http://schemas.openxmlformats.org/spreadsheetml/2006/main" count="1592" uniqueCount="459">
  <si>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</si>
  <si>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</si>
  <si>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</si>
  <si>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</si>
  <si>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</si>
  <si>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</si>
  <si>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</si>
  <si>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</si>
  <si>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</si>
  <si>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</si>
  <si>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</si>
  <si>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</si>
  <si>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</si>
  <si>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</si>
  <si>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</si>
  <si>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</si>
  <si>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</si>
  <si>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</si>
  <si>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</si>
  <si>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DESC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</si>
  <si>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</si>
  <si>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</si>
  <si>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</si>
  <si>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</si>
  <si>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</si>
  <si>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</si>
  <si>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</si>
  <si>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</si>
  <si>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설명 문자열</t>
    <phoneticPr fontId="1" type="noConversion"/>
  </si>
  <si>
    <t>변동언</t>
    <phoneticPr fontId="1" type="noConversion"/>
  </si>
  <si>
    <t>타입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</si>
  <si>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</si>
  <si>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</si>
  <si>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UI를 통해서 유저에게 보여지는 설명 텍스트의 참조값, Table_String_Kor 테이블에서 참조</t>
    <phoneticPr fontId="1" type="noConversion"/>
  </si>
  <si>
    <t>array</t>
    <phoneticPr fontId="1" type="noConversion"/>
  </si>
  <si>
    <t>end</t>
  </si>
  <si>
    <t>NULL</t>
  </si>
  <si>
    <t>string</t>
    <phoneticPr fontId="1" type="noConversion"/>
  </si>
  <si>
    <t>NULL</t>
    <phoneticPr fontId="1" type="noConversion"/>
  </si>
  <si>
    <t>EndArray</t>
    <phoneticPr fontId="1" type="noConversion"/>
  </si>
  <si>
    <t>Grade</t>
    <phoneticPr fontId="1" type="noConversion"/>
  </si>
  <si>
    <t/>
  </si>
  <si>
    <t>등급</t>
    <phoneticPr fontId="1" type="noConversion"/>
  </si>
  <si>
    <t>Grade</t>
    <phoneticPr fontId="1" type="noConversion"/>
  </si>
  <si>
    <t>None</t>
  </si>
  <si>
    <t>None</t>
    <phoneticPr fontId="1" type="noConversion"/>
  </si>
  <si>
    <t>Equip</t>
  </si>
  <si>
    <t>Equip</t>
    <phoneticPr fontId="1" type="noConversion"/>
  </si>
  <si>
    <t>Potion</t>
  </si>
  <si>
    <t>Potion</t>
    <phoneticPr fontId="1" type="noConversion"/>
  </si>
  <si>
    <t>Box</t>
  </si>
  <si>
    <t>Box</t>
    <phoneticPr fontId="1" type="noConversion"/>
  </si>
  <si>
    <t>Key</t>
  </si>
  <si>
    <t>Key</t>
    <phoneticPr fontId="1" type="noConversion"/>
  </si>
  <si>
    <t>Quest</t>
  </si>
  <si>
    <t>Quest</t>
    <phoneticPr fontId="1" type="noConversion"/>
  </si>
  <si>
    <t>Meterial</t>
  </si>
  <si>
    <t>Meterial</t>
    <phoneticPr fontId="1" type="noConversion"/>
  </si>
  <si>
    <t>아이템의 등급, 높을수록 좋다.</t>
    <phoneticPr fontId="1" type="noConversion"/>
  </si>
  <si>
    <t>아이템 타입</t>
    <phoneticPr fontId="1" type="noConversion"/>
  </si>
  <si>
    <t>방어력</t>
    <phoneticPr fontId="1" type="noConversion"/>
  </si>
  <si>
    <t>이동속도</t>
    <phoneticPr fontId="1" type="noConversion"/>
  </si>
  <si>
    <t>효과타입</t>
    <phoneticPr fontId="1" type="noConversion"/>
  </si>
  <si>
    <t>효과값</t>
    <phoneticPr fontId="1" type="noConversion"/>
  </si>
  <si>
    <t>스택여부</t>
    <phoneticPr fontId="1" type="noConversion"/>
  </si>
  <si>
    <t>가격</t>
    <phoneticPr fontId="1" type="noConversion"/>
  </si>
  <si>
    <t>코인 가격</t>
    <phoneticPr fontId="1" type="noConversion"/>
  </si>
  <si>
    <t>Price</t>
    <phoneticPr fontId="1" type="noConversion"/>
  </si>
  <si>
    <t>키아이템</t>
    <phoneticPr fontId="1" type="noConversion"/>
  </si>
  <si>
    <t>Key</t>
    <phoneticPr fontId="1" type="noConversion"/>
  </si>
  <si>
    <t>드롭 배열</t>
    <phoneticPr fontId="1" type="noConversion"/>
  </si>
  <si>
    <t>Drop_Array</t>
    <phoneticPr fontId="1" type="noConversion"/>
  </si>
  <si>
    <t>드롭 데이터</t>
    <phoneticPr fontId="1" type="noConversion"/>
  </si>
  <si>
    <t>Drop</t>
    <phoneticPr fontId="1" type="noConversion"/>
  </si>
  <si>
    <t>박스 아이템인 경우 박스를 열었을 때 나올 드롭 데이터</t>
    <phoneticPr fontId="1" type="noConversion"/>
  </si>
  <si>
    <t>드롭 데이터 이름</t>
    <phoneticPr fontId="1" type="noConversion"/>
  </si>
  <si>
    <t>DEF</t>
    <phoneticPr fontId="1" type="noConversion"/>
  </si>
  <si>
    <t>SPD</t>
    <phoneticPr fontId="1" type="noConversion"/>
  </si>
  <si>
    <t>Effect</t>
    <phoneticPr fontId="1" type="noConversion"/>
  </si>
  <si>
    <t>boolean</t>
    <phoneticPr fontId="1" type="noConversion"/>
  </si>
  <si>
    <t>착용 시 방어력</t>
    <phoneticPr fontId="1" type="noConversion"/>
  </si>
  <si>
    <t>착용 시 이동속도</t>
    <phoneticPr fontId="1" type="noConversion"/>
  </si>
  <si>
    <t>소지 시 아이템이 스택이 되는지 여부</t>
    <phoneticPr fontId="1" type="noConversion"/>
  </si>
  <si>
    <t>아이템 가격</t>
    <phoneticPr fontId="1" type="noConversion"/>
  </si>
  <si>
    <t>코인으로 판매되는 아이템 가격</t>
    <phoneticPr fontId="1" type="noConversion"/>
  </si>
  <si>
    <t>박스 아이템인 경우 박스를 열 수 있는 키가 되는 아이템 이름</t>
    <phoneticPr fontId="1" type="noConversion"/>
  </si>
  <si>
    <t>키 아이템 개수</t>
    <phoneticPr fontId="1" type="noConversion"/>
  </si>
  <si>
    <t>Key_Amount</t>
    <phoneticPr fontId="1" type="noConversion"/>
  </si>
  <si>
    <t>박스를 열기 위해 필요한 키의 개수</t>
    <phoneticPr fontId="1" type="noConversion"/>
  </si>
  <si>
    <t>DEF</t>
    <phoneticPr fontId="1" type="noConversion"/>
  </si>
  <si>
    <t>Effect_Value</t>
    <phoneticPr fontId="1" type="noConversion"/>
  </si>
  <si>
    <t>Effect</t>
    <phoneticPr fontId="1" type="noConversion"/>
  </si>
  <si>
    <t>Effect_Value</t>
    <phoneticPr fontId="1" type="noConversion"/>
  </si>
  <si>
    <t>Price</t>
    <phoneticPr fontId="1" type="noConversion"/>
  </si>
  <si>
    <t>Coin_Price</t>
    <phoneticPr fontId="1" type="noConversion"/>
  </si>
  <si>
    <t>Is_Stack</t>
    <phoneticPr fontId="1" type="noConversion"/>
  </si>
  <si>
    <t>Is_Stack</t>
    <phoneticPr fontId="1" type="noConversion"/>
  </si>
  <si>
    <t>Coin_Price</t>
    <phoneticPr fontId="1" type="noConversion"/>
  </si>
  <si>
    <t>Key</t>
    <phoneticPr fontId="1" type="noConversion"/>
  </si>
  <si>
    <t>Key_Amount</t>
    <phoneticPr fontId="1" type="noConversion"/>
  </si>
  <si>
    <t>Drop_1</t>
    <phoneticPr fontId="1" type="noConversion"/>
  </si>
  <si>
    <t>Drop_2</t>
  </si>
  <si>
    <t>Drop_3</t>
  </si>
  <si>
    <t>Slot_Idx</t>
    <phoneticPr fontId="1" type="noConversion"/>
  </si>
  <si>
    <t>장착 슬롯</t>
    <phoneticPr fontId="1" type="noConversion"/>
  </si>
  <si>
    <t>장착 아이템인 경우 장착 위치</t>
    <phoneticPr fontId="1" type="noConversion"/>
  </si>
  <si>
    <t>Slot_Idx</t>
    <phoneticPr fontId="1" type="noConversion"/>
  </si>
  <si>
    <t>None</t>
    <phoneticPr fontId="1" type="noConversion"/>
  </si>
  <si>
    <t>item_potion_heal_02</t>
  </si>
  <si>
    <t>item_key_01</t>
    <phoneticPr fontId="1" type="noConversion"/>
  </si>
  <si>
    <t>item_key_02</t>
  </si>
  <si>
    <t>item_box_01</t>
    <phoneticPr fontId="1" type="noConversion"/>
  </si>
  <si>
    <t>item_quest_01</t>
    <phoneticPr fontId="1" type="noConversion"/>
  </si>
  <si>
    <t>item_meterial_01</t>
    <phoneticPr fontId="1" type="noConversion"/>
  </si>
  <si>
    <t>Icon</t>
    <phoneticPr fontId="1" type="noConversion"/>
  </si>
  <si>
    <t>icon_item_0001</t>
    <phoneticPr fontId="1" type="noConversion"/>
  </si>
  <si>
    <t>아이콘</t>
    <phoneticPr fontId="1" type="noConversion"/>
  </si>
  <si>
    <t>아이콘 이름</t>
    <phoneticPr fontId="1" type="noConversion"/>
  </si>
  <si>
    <t>드롭 배열 끝</t>
    <phoneticPr fontId="1" type="noConversion"/>
  </si>
  <si>
    <t>item_potion_heal_01</t>
    <phoneticPr fontId="1" type="noConversion"/>
  </si>
  <si>
    <t>drop_0001</t>
    <phoneticPr fontId="1" type="noConversion"/>
  </si>
  <si>
    <t>icon_item_4000</t>
    <phoneticPr fontId="1" type="noConversion"/>
  </si>
  <si>
    <t>icon_item_1000</t>
    <phoneticPr fontId="1" type="noConversion"/>
  </si>
  <si>
    <t>icon_item_3000</t>
    <phoneticPr fontId="1" type="noConversion"/>
  </si>
  <si>
    <t>icon_item_2000</t>
    <phoneticPr fontId="1" type="noConversion"/>
  </si>
  <si>
    <t>icon_item_5000</t>
    <phoneticPr fontId="1" type="noConversion"/>
  </si>
  <si>
    <t>ADD_HP</t>
  </si>
  <si>
    <t>ADD_HP</t>
    <phoneticPr fontId="1" type="noConversion"/>
  </si>
  <si>
    <t>SATK</t>
    <phoneticPr fontId="1" type="noConversion"/>
  </si>
  <si>
    <t>LATK</t>
    <phoneticPr fontId="1" type="noConversion"/>
  </si>
  <si>
    <t>ASPD</t>
    <phoneticPr fontId="1" type="noConversion"/>
  </si>
  <si>
    <t>SATK</t>
    <phoneticPr fontId="1" type="noConversion"/>
  </si>
  <si>
    <t>LATK</t>
    <phoneticPr fontId="1" type="noConversion"/>
  </si>
  <si>
    <t>ASPD</t>
    <phoneticPr fontId="1" type="noConversion"/>
  </si>
  <si>
    <t>착용 시 근거리 공격력</t>
    <phoneticPr fontId="1" type="noConversion"/>
  </si>
  <si>
    <t>착용 시 원거리 공격력</t>
    <phoneticPr fontId="1" type="noConversion"/>
  </si>
  <si>
    <t>근거리공격력</t>
    <phoneticPr fontId="1" type="noConversion"/>
  </si>
  <si>
    <t>원거리공격력</t>
    <phoneticPr fontId="1" type="noConversion"/>
  </si>
  <si>
    <t>공격속도</t>
    <phoneticPr fontId="1" type="noConversion"/>
  </si>
  <si>
    <t>착용 시 공격속도, 밀리초, 낮을 수록 좋다</t>
    <phoneticPr fontId="1" type="noConversion"/>
  </si>
  <si>
    <t>아이템을 사용했을 때 효과 타입</t>
    <phoneticPr fontId="1" type="noConversion"/>
  </si>
  <si>
    <t>아이템을 사용했을 때 효과 값</t>
    <phoneticPr fontId="1" type="noConversion"/>
  </si>
  <si>
    <t>옵션 배열</t>
    <phoneticPr fontId="1" type="noConversion"/>
  </si>
  <si>
    <t>옵션 데이터</t>
    <phoneticPr fontId="1" type="noConversion"/>
  </si>
  <si>
    <t>Option_Array</t>
    <phoneticPr fontId="1" type="noConversion"/>
  </si>
  <si>
    <t>Option</t>
    <phoneticPr fontId="1" type="noConversion"/>
  </si>
  <si>
    <t>장비 아이템인 경우 옵션 데이터</t>
    <phoneticPr fontId="1" type="noConversion"/>
  </si>
  <si>
    <t>옵션 데이터 이름</t>
    <phoneticPr fontId="1" type="noConversion"/>
  </si>
  <si>
    <t>Option_1</t>
    <phoneticPr fontId="1" type="noConversion"/>
  </si>
  <si>
    <t>Option_2</t>
  </si>
  <si>
    <t>Option_3</t>
  </si>
  <si>
    <t>Option_4</t>
  </si>
  <si>
    <t>Option_5</t>
  </si>
  <si>
    <t>데이터의 고유한 키값 (ID대역: 30000~39999)</t>
    <phoneticPr fontId="1" type="noConversion"/>
  </si>
  <si>
    <t>Hp</t>
    <phoneticPr fontId="1" type="noConversion"/>
  </si>
  <si>
    <t>HP</t>
    <phoneticPr fontId="1" type="noConversion"/>
  </si>
  <si>
    <t>착용 시 HP 증가</t>
    <phoneticPr fontId="1" type="noConversion"/>
  </si>
  <si>
    <t>option_pow_01</t>
    <phoneticPr fontId="1" type="noConversion"/>
  </si>
  <si>
    <t>option_dex_01</t>
    <phoneticPr fontId="1" type="noConversion"/>
  </si>
  <si>
    <t>option_int_01</t>
    <phoneticPr fontId="1" type="noConversion"/>
  </si>
  <si>
    <t>option_con_01</t>
    <phoneticPr fontId="1" type="noConversion"/>
  </si>
  <si>
    <t>option_luc_01</t>
    <phoneticPr fontId="1" type="noConversion"/>
  </si>
  <si>
    <t>item_potion_itemslot_01</t>
    <phoneticPr fontId="1" type="noConversion"/>
  </si>
  <si>
    <t>ADD_ITEM_SLOT</t>
  </si>
  <si>
    <t>ADD_ITEM_SLOT</t>
    <phoneticPr fontId="1" type="noConversion"/>
  </si>
  <si>
    <t>SUMMON</t>
    <phoneticPr fontId="1" type="noConversion"/>
  </si>
  <si>
    <t>item_potion_slot_01</t>
    <phoneticPr fontId="1" type="noConversion"/>
  </si>
  <si>
    <t>선물 상자</t>
    <phoneticPr fontId="1" type="noConversion"/>
  </si>
  <si>
    <t>구리열쇠</t>
    <phoneticPr fontId="1" type="noConversion"/>
  </si>
  <si>
    <t>은열쇠</t>
    <phoneticPr fontId="1" type="noConversion"/>
  </si>
  <si>
    <t>퀘스트 아이템 01</t>
    <phoneticPr fontId="1" type="noConversion"/>
  </si>
  <si>
    <t>재료 01</t>
    <phoneticPr fontId="1" type="noConversion"/>
  </si>
  <si>
    <t>아이템 슬롯 확장권</t>
    <phoneticPr fontId="1" type="noConversion"/>
  </si>
  <si>
    <t>캐릭터 슬롯 확장권</t>
    <phoneticPr fontId="1" type="noConversion"/>
  </si>
  <si>
    <t>item_potion_heal_03</t>
  </si>
  <si>
    <t>item_potion_heal_04</t>
  </si>
  <si>
    <t>item_potion_heal_05</t>
  </si>
  <si>
    <t>item_equip_n_ar_02</t>
  </si>
  <si>
    <t>item_equip_n_ar_03</t>
  </si>
  <si>
    <t>item_equip_n_ar_04</t>
  </si>
  <si>
    <t>item_equip_n_ar_05</t>
  </si>
  <si>
    <t>item_equip_n_ar_06</t>
  </si>
  <si>
    <t>item_equip_n_ar_07</t>
  </si>
  <si>
    <t>item_equip_n_ac_02</t>
  </si>
  <si>
    <t>item_equip_n_ac_03</t>
  </si>
  <si>
    <t>item_equip_n_ac_04</t>
  </si>
  <si>
    <t>item_equip_n_ac_05</t>
  </si>
  <si>
    <t>item_equip_n_ac_06</t>
  </si>
  <si>
    <t>item_equip_n_bo_02</t>
  </si>
  <si>
    <t>item_equip_n_bo_03</t>
  </si>
  <si>
    <t>item_equip_n_bo_04</t>
  </si>
  <si>
    <t>item_equip_n_we_02</t>
  </si>
  <si>
    <t>item_equip_n_we_03</t>
  </si>
  <si>
    <t>item_equip_n_we_04</t>
  </si>
  <si>
    <t>item_equip_n_we_05</t>
  </si>
  <si>
    <t>item_equip_n_we_06</t>
  </si>
  <si>
    <t>item_equip_n_we_07</t>
  </si>
  <si>
    <t>나무 지팡이</t>
  </si>
  <si>
    <t>item_equip_n_ar_08</t>
  </si>
  <si>
    <t>item_equip_n_ar_09</t>
  </si>
  <si>
    <t>item_equip_n_ar_10</t>
  </si>
  <si>
    <t>item_equip_n_ar_11</t>
  </si>
  <si>
    <t>item_equip_n_ar_12</t>
  </si>
  <si>
    <t>item_equip_n_ar_13</t>
  </si>
  <si>
    <t>item_equip_n_ar_14</t>
  </si>
  <si>
    <t>item_equip_n_ar_15</t>
  </si>
  <si>
    <t>item_equip_n_ar_16</t>
  </si>
  <si>
    <t>item_equip_n_ar_17</t>
  </si>
  <si>
    <t>item_equip_n_ar_18</t>
  </si>
  <si>
    <t>item_equip_n_ar_19</t>
  </si>
  <si>
    <t>item_equip_n_ar_20</t>
  </si>
  <si>
    <t>item_equip_n_ar_21</t>
  </si>
  <si>
    <t>item_equip_n_ar_22</t>
  </si>
  <si>
    <t>item_equip_n_ar_23</t>
  </si>
  <si>
    <t>item_equip_n_ar_24</t>
  </si>
  <si>
    <t>item_equip_n_ar_25</t>
  </si>
  <si>
    <t>item_equip_n_ac_07</t>
  </si>
  <si>
    <t>item_equip_n_ac_08</t>
  </si>
  <si>
    <t>item_equip_n_ac_09</t>
  </si>
  <si>
    <t>item_equip_n_ac_10</t>
  </si>
  <si>
    <t>item_equip_n_ac_11</t>
  </si>
  <si>
    <t>item_equip_n_ac_12</t>
  </si>
  <si>
    <t>item_equip_n_ac_13</t>
  </si>
  <si>
    <t>item_equip_n_bo_06</t>
  </si>
  <si>
    <t>item_equip_n_bo_07</t>
  </si>
  <si>
    <t>item_equip_n_bo_09</t>
  </si>
  <si>
    <t>item_equip_n_bo_10</t>
  </si>
  <si>
    <t>item_equip_n_bo_12</t>
  </si>
  <si>
    <t>item_equip_n_bo_13</t>
  </si>
  <si>
    <t>item_equip_n_bo_05</t>
  </si>
  <si>
    <t>item_equip_n_bo_08</t>
  </si>
  <si>
    <t>item_equip_n_bo_11</t>
  </si>
  <si>
    <t>item_equip_n_we_01</t>
  </si>
  <si>
    <t>item_equip_n_we_08</t>
  </si>
  <si>
    <t>item_equip_n_we_09</t>
  </si>
  <si>
    <t>item_equip_n_we_10</t>
  </si>
  <si>
    <t>item_equip_n_we_12</t>
  </si>
  <si>
    <t>item_equip_n_we_13</t>
  </si>
  <si>
    <t>item_equip_n_we_14</t>
  </si>
  <si>
    <t>item_equip_n_we_15</t>
  </si>
  <si>
    <t>item_equip_n_we_16</t>
  </si>
  <si>
    <t>item_equip_n_we_17</t>
  </si>
  <si>
    <t>item_equip_n_we_18</t>
  </si>
  <si>
    <t>item_equip_n_we_19</t>
  </si>
  <si>
    <t>item_equip_n_we_21</t>
  </si>
  <si>
    <t>item_equip_n_we_22</t>
  </si>
  <si>
    <t>item_equip_n_we_23</t>
  </si>
  <si>
    <t>item_equip_n_we_24</t>
  </si>
  <si>
    <t>item_equip_n_we_25</t>
  </si>
  <si>
    <t>item_equip_n_we_26</t>
  </si>
  <si>
    <t>item_equip_n_we_27</t>
  </si>
  <si>
    <t>item_equip_n_we_28</t>
  </si>
  <si>
    <t>item_equip_n_we_30</t>
  </si>
  <si>
    <t>item_equip_n_we_31</t>
  </si>
  <si>
    <t>item_equip_n_we_32</t>
  </si>
  <si>
    <t>item_equip_n_we_33</t>
  </si>
  <si>
    <t>item_equip_n_we_34</t>
  </si>
  <si>
    <t>item_equip_n_we_35</t>
  </si>
  <si>
    <t>item_equip_n_we_36</t>
  </si>
  <si>
    <t>item_equip_n_we_37</t>
  </si>
  <si>
    <t>item_equip_n_we_11</t>
  </si>
  <si>
    <t>item_equip_n_we_20</t>
  </si>
  <si>
    <t>item_equip_n_we_29</t>
  </si>
  <si>
    <t>ADD_CHARACTER_SLOT</t>
  </si>
  <si>
    <t>ADD_CHARACTER_SLOT</t>
    <phoneticPr fontId="1" type="noConversion"/>
  </si>
  <si>
    <t>icon_item_0002</t>
  </si>
  <si>
    <t>icon_item_0003</t>
  </si>
  <si>
    <t>icon_item_0004</t>
  </si>
  <si>
    <t>icon_item_0005</t>
  </si>
  <si>
    <t>icon_item_1001</t>
    <phoneticPr fontId="1" type="noConversion"/>
  </si>
  <si>
    <t>icon_item_1002</t>
  </si>
  <si>
    <t>icon_item_1003</t>
  </si>
  <si>
    <t>icon_item_1201</t>
    <phoneticPr fontId="1" type="noConversion"/>
  </si>
  <si>
    <t>icon_item_1202</t>
  </si>
  <si>
    <t>icon_item_1203</t>
  </si>
  <si>
    <t>icon_item_1003</t>
    <phoneticPr fontId="1" type="noConversion"/>
  </si>
  <si>
    <t>icon_item_1004</t>
  </si>
  <si>
    <t>icon_item_1204</t>
    <phoneticPr fontId="1" type="noConversion"/>
  </si>
  <si>
    <t>icon_item_1205</t>
  </si>
  <si>
    <t>icon_item_1206</t>
  </si>
  <si>
    <t>icon_item_1005</t>
    <phoneticPr fontId="1" type="noConversion"/>
  </si>
  <si>
    <t>icon_item_1006</t>
  </si>
  <si>
    <t>icon_item_1207</t>
    <phoneticPr fontId="1" type="noConversion"/>
  </si>
  <si>
    <t>icon_item_1208</t>
  </si>
  <si>
    <t>icon_item_1209</t>
  </si>
  <si>
    <t>icon_item_2001</t>
  </si>
  <si>
    <t>icon_item_2002</t>
  </si>
  <si>
    <t>icon_item_2003</t>
  </si>
  <si>
    <t>icon_item_3001</t>
  </si>
  <si>
    <t>icon_item_3002</t>
  </si>
  <si>
    <t>icon_item_3003</t>
  </si>
  <si>
    <t>icon_item_4001</t>
  </si>
  <si>
    <t>icon_item_4002</t>
  </si>
  <si>
    <t>icon_item_4003</t>
  </si>
  <si>
    <t>icon_item_4201</t>
    <phoneticPr fontId="1" type="noConversion"/>
  </si>
  <si>
    <t>icon_item_4202</t>
  </si>
  <si>
    <t>icon_item_4203</t>
  </si>
  <si>
    <t>icon_item_4401</t>
    <phoneticPr fontId="1" type="noConversion"/>
  </si>
  <si>
    <t>icon_item_4402</t>
  </si>
  <si>
    <t>icon_item_4403</t>
  </si>
  <si>
    <t>icon_item_7000</t>
    <phoneticPr fontId="1" type="noConversion"/>
  </si>
  <si>
    <t>icon_item_7002</t>
    <phoneticPr fontId="1" type="noConversion"/>
  </si>
  <si>
    <t>icon_item_9000</t>
    <phoneticPr fontId="1" type="noConversion"/>
  </si>
  <si>
    <t>icon_item_9001</t>
  </si>
  <si>
    <t>빨간 물약</t>
    <phoneticPr fontId="1" type="noConversion"/>
  </si>
  <si>
    <t>주황 물약</t>
    <phoneticPr fontId="1" type="noConversion"/>
  </si>
  <si>
    <t>보라 물약</t>
    <phoneticPr fontId="1" type="noConversion"/>
  </si>
  <si>
    <t>노랑 물약</t>
    <phoneticPr fontId="1" type="noConversion"/>
  </si>
  <si>
    <t>하얀 물약</t>
    <phoneticPr fontId="1" type="noConversion"/>
  </si>
  <si>
    <t>구리 갑옷</t>
  </si>
  <si>
    <t>강화 구리 갑옷</t>
  </si>
  <si>
    <t>레어 구리 갑옷</t>
  </si>
  <si>
    <t>무복</t>
  </si>
  <si>
    <t>장식된 무복</t>
  </si>
  <si>
    <t>레어 무복</t>
  </si>
  <si>
    <t>황동 갑옷</t>
  </si>
  <si>
    <t>강화 황동 갑옷</t>
  </si>
  <si>
    <t>레어 황동 갑옷</t>
  </si>
  <si>
    <t>철 갑옷</t>
  </si>
  <si>
    <t>강화 철 갑옷</t>
  </si>
  <si>
    <t>레어 철 갑옷</t>
  </si>
  <si>
    <t>구리 반지</t>
  </si>
  <si>
    <t>은 반지</t>
  </si>
  <si>
    <t>금 반지</t>
  </si>
  <si>
    <t>마법사의 반지</t>
  </si>
  <si>
    <t>백금 반지</t>
  </si>
  <si>
    <t>순금 반지</t>
  </si>
  <si>
    <t>붉은 마법 반지</t>
  </si>
  <si>
    <t>사파이어 반지</t>
  </si>
  <si>
    <t>루비 반지</t>
  </si>
  <si>
    <t>푸른 마법 반지</t>
  </si>
  <si>
    <t>에메랄드 반지</t>
  </si>
  <si>
    <t>혈석 반지</t>
  </si>
  <si>
    <t>달의 반지</t>
  </si>
  <si>
    <t>낡은 신발</t>
  </si>
  <si>
    <t>가죽 신발</t>
  </si>
  <si>
    <t>나무 신발</t>
  </si>
  <si>
    <t>황동 신발</t>
  </si>
  <si>
    <t>철 신발</t>
  </si>
  <si>
    <t>나무 막대기</t>
  </si>
  <si>
    <t>장검</t>
  </si>
  <si>
    <t>주목 지팡이</t>
  </si>
  <si>
    <t>악몽의 지팡이</t>
  </si>
  <si>
    <t>지옥의 지팡이</t>
  </si>
  <si>
    <t>불지옥 지팡이</t>
  </si>
  <si>
    <t>뼈 지팡이</t>
  </si>
  <si>
    <t>전투 지팡이</t>
  </si>
  <si>
    <t>전쟁 지팡이</t>
  </si>
  <si>
    <t>흑요석 지팡이</t>
  </si>
  <si>
    <t>주술 지팡이</t>
  </si>
  <si>
    <t>칠흑 지팡이</t>
  </si>
  <si>
    <t>대장로의 지팡이</t>
  </si>
  <si>
    <t>넓은 검</t>
  </si>
  <si>
    <t>전쟁 검</t>
  </si>
  <si>
    <t>용병 검</t>
  </si>
  <si>
    <t>기사 검</t>
  </si>
  <si>
    <t>검투사 검</t>
  </si>
  <si>
    <t>해적 검</t>
  </si>
  <si>
    <t>제국 검</t>
  </si>
  <si>
    <t>단도</t>
  </si>
  <si>
    <t>비수</t>
  </si>
  <si>
    <t>뿔 단도</t>
  </si>
  <si>
    <t>톱날 단도</t>
  </si>
  <si>
    <t>강철 단도</t>
  </si>
  <si>
    <t>굴절 단도</t>
  </si>
  <si>
    <t>크리스</t>
  </si>
  <si>
    <t>아수라</t>
  </si>
  <si>
    <t>룬 단검</t>
  </si>
  <si>
    <t>소울 브링거</t>
  </si>
  <si>
    <t>흑철 단검</t>
  </si>
  <si>
    <t>그람</t>
  </si>
  <si>
    <t>담로</t>
  </si>
  <si>
    <t>듀랜달</t>
  </si>
  <si>
    <t>막 아 루인</t>
  </si>
  <si>
    <t>리딜</t>
  </si>
  <si>
    <t>나무 장화</t>
  </si>
  <si>
    <t>강화 나무 장화</t>
  </si>
  <si>
    <t>가죽 장화</t>
  </si>
  <si>
    <t>강화 가죽 장화</t>
  </si>
  <si>
    <t>황동 장화</t>
  </si>
  <si>
    <t>강화 황동 장화</t>
  </si>
  <si>
    <t>철 장화</t>
  </si>
  <si>
    <t>강화 철 장화</t>
  </si>
  <si>
    <t>낡은 옷</t>
  </si>
  <si>
    <t>천 옷</t>
  </si>
  <si>
    <t>강화 천 옷</t>
  </si>
  <si>
    <t>레어 천 옷</t>
  </si>
  <si>
    <t>가죽 옷</t>
  </si>
  <si>
    <t>강화 가죽 옷</t>
  </si>
  <si>
    <t>레어 가죽 옷</t>
  </si>
  <si>
    <t>법사 옷</t>
  </si>
  <si>
    <t>장식된 법사 옷</t>
  </si>
  <si>
    <t>레어 법사 옷</t>
  </si>
  <si>
    <t>가죽 갑옷</t>
  </si>
  <si>
    <t>강화 가죽 갑옷</t>
  </si>
  <si>
    <t>레어 가죽 갑옷</t>
  </si>
  <si>
    <t>미션 보상 무기 상자 01</t>
    <phoneticPr fontId="1" type="noConversion"/>
  </si>
  <si>
    <t>item_box_02</t>
    <phoneticPr fontId="1" type="noConversion"/>
  </si>
  <si>
    <t>drop_0023</t>
    <phoneticPr fontId="1" type="noConversion"/>
  </si>
  <si>
    <t>drop_0024</t>
    <phoneticPr fontId="1" type="noConversion"/>
  </si>
  <si>
    <t>미션 보상 갑옷 상자 01</t>
    <phoneticPr fontId="1" type="noConversion"/>
  </si>
  <si>
    <t>item_box_03</t>
  </si>
  <si>
    <t>미션 보상 갑옷 상자 02</t>
    <phoneticPr fontId="1" type="noConversion"/>
  </si>
  <si>
    <t>item_box_04</t>
    <phoneticPr fontId="1" type="noConversion"/>
  </si>
  <si>
    <t>drop_0025</t>
    <phoneticPr fontId="1" type="noConversion"/>
  </si>
  <si>
    <t>item_equip_n_ar_01</t>
    <phoneticPr fontId="1" type="noConversion"/>
  </si>
  <si>
    <t>item_equip_n_ac_01</t>
    <phoneticPr fontId="1" type="noConversion"/>
  </si>
  <si>
    <t>item_equip_n_bo_01</t>
    <phoneticPr fontId="1" type="noConversion"/>
  </si>
  <si>
    <t>ADD_ITEM</t>
  </si>
  <si>
    <t>ADD_ITEM</t>
    <phoneticPr fontId="1" type="noConversion"/>
  </si>
  <si>
    <t>금열쇠</t>
    <phoneticPr fontId="1" type="noConversion"/>
  </si>
  <si>
    <t>item_key_03</t>
  </si>
  <si>
    <t>잠겨있는 구리 상자</t>
    <phoneticPr fontId="1" type="noConversion"/>
  </si>
  <si>
    <t>잠겨있는 은 상자</t>
    <phoneticPr fontId="1" type="noConversion"/>
  </si>
  <si>
    <t>잠겨있는 금 상자</t>
    <phoneticPr fontId="1" type="noConversion"/>
  </si>
  <si>
    <t>item_box_05</t>
  </si>
  <si>
    <t>item_box_06</t>
  </si>
  <si>
    <t>item_box_07</t>
  </si>
  <si>
    <t>item_key_01</t>
  </si>
  <si>
    <t>탄환</t>
    <phoneticPr fontId="1" type="noConversion"/>
  </si>
  <si>
    <t>Bullet</t>
    <phoneticPr fontId="1" type="noConversion"/>
  </si>
  <si>
    <t>발사체 이름</t>
    <phoneticPr fontId="1" type="noConversion"/>
  </si>
  <si>
    <t>Bullet</t>
    <phoneticPr fontId="1" type="noConversion"/>
  </si>
  <si>
    <t>pf_fire_02</t>
    <phoneticPr fontId="1" type="noConversion"/>
  </si>
  <si>
    <t>pf_blade_01</t>
    <phoneticPr fontId="1" type="noConversion"/>
  </si>
  <si>
    <t>pf_dagger_02</t>
    <phoneticPr fontId="1" type="noConversion"/>
  </si>
  <si>
    <t>pf_blade_04</t>
    <phoneticPr fontId="1" type="noConversion"/>
  </si>
  <si>
    <t>pf_fire_01</t>
    <phoneticPr fontId="1" type="noConversion"/>
  </si>
  <si>
    <t>pf_dagger_01</t>
    <phoneticPr fontId="1" type="noConversion"/>
  </si>
  <si>
    <t>pf_blade_05</t>
    <phoneticPr fontId="1" type="noConversion"/>
  </si>
  <si>
    <t>pf_blade_02</t>
    <phoneticPr fontId="1" type="noConversion"/>
  </si>
  <si>
    <t>pf_ice_01</t>
    <phoneticPr fontId="1" type="noConversion"/>
  </si>
  <si>
    <t>pf_dagger_03</t>
    <phoneticPr fontId="1" type="noConversion"/>
  </si>
  <si>
    <t>pf_water_03</t>
    <phoneticPr fontId="1" type="noConversion"/>
  </si>
  <si>
    <t>pf_water_01</t>
    <phoneticPr fontId="1" type="noConversion"/>
  </si>
  <si>
    <t>출석 보상 A등급 캐릭터 상자 01</t>
    <phoneticPr fontId="1" type="noConversion"/>
  </si>
  <si>
    <t>item_box_08</t>
  </si>
  <si>
    <t>item_summon_01</t>
    <phoneticPr fontId="1" type="noConversion"/>
  </si>
  <si>
    <t>SUMMON</t>
  </si>
  <si>
    <t>icon_item_9002</t>
    <phoneticPr fontId="1" type="noConversion"/>
  </si>
  <si>
    <t>패트릭 소환권</t>
    <phoneticPr fontId="1" type="noConversion"/>
  </si>
  <si>
    <t>drop_0026</t>
    <phoneticPr fontId="1" type="noConversion"/>
  </si>
  <si>
    <t>item_summon_02</t>
  </si>
  <si>
    <t>item_summon_03</t>
  </si>
  <si>
    <t>item_summon_04</t>
  </si>
  <si>
    <t>item_summon_05</t>
  </si>
  <si>
    <t>앤드류 소환권</t>
    <phoneticPr fontId="1" type="noConversion"/>
  </si>
  <si>
    <t>바르반 바르반</t>
    <phoneticPr fontId="1" type="noConversion"/>
  </si>
  <si>
    <t>헤르미나 소환권</t>
    <phoneticPr fontId="1" type="noConversion"/>
  </si>
  <si>
    <t>카네키 소환권</t>
    <phoneticPr fontId="1" type="noConversion"/>
  </si>
  <si>
    <t>조르의 반지</t>
    <phoneticPr fontId="1" type="noConversion"/>
  </si>
  <si>
    <t>item_equip_r_ac_01</t>
    <phoneticPr fontId="1" type="noConversion"/>
  </si>
  <si>
    <t>item_equip_r_ac_02</t>
  </si>
  <si>
    <t>item_equip_r_ac_03</t>
  </si>
  <si>
    <t>item_equip_r_ac_04</t>
  </si>
  <si>
    <t>item_equip_r_ac_05</t>
  </si>
  <si>
    <t>조르의 보석함</t>
    <phoneticPr fontId="1" type="noConversion"/>
  </si>
  <si>
    <t>item_box_09</t>
  </si>
  <si>
    <t>drop_0027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</si>
</sst>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4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4" xfId="0" applyFont="1" applyBorder="1">
      <alignment vertical="center"/>
    </xf>
    <xf numFmtId="0" fontId="5" fillId="4" borderId="5" xfId="0" applyFont="1" applyFill="1" applyBorder="1">
      <alignment vertical="center"/>
    </xf>
    <xf numFmtId="0" fontId="5" fillId="4" borderId="24" xfId="0" applyFont="1" applyFill="1" applyBorder="1">
      <alignment vertical="center"/>
    </xf>
    <xf numFmtId="0" fontId="5" fillId="4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29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65"/>
  <sheetViews>
    <sheetView workbookViewId="0">
      <selection activeCell="D35" sqref="D35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25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153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21</v>
      </c>
      <c r="C3" s="20" t="s">
        <v>22</v>
      </c>
      <c r="D3" s="20" t="s">
        <v>23</v>
      </c>
      <c r="E3" s="20" t="s">
        <v>20</v>
      </c>
      <c r="F3" s="20">
        <v>0</v>
      </c>
      <c r="G3" s="20">
        <v>0</v>
      </c>
      <c r="H3" s="6" t="s">
        <v>24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26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31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27</v>
      </c>
      <c r="C5" s="20" t="s">
        <v>18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32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28</v>
      </c>
      <c r="C6" s="20" t="s">
        <v>19</v>
      </c>
      <c r="D6" s="20" t="s">
        <v>14</v>
      </c>
      <c r="E6" s="20" t="s">
        <v>15</v>
      </c>
      <c r="F6" s="20">
        <v>0</v>
      </c>
      <c r="G6" s="20">
        <v>32</v>
      </c>
      <c r="H6" s="6" t="s">
        <v>33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0" t="s">
        <v>42</v>
      </c>
      <c r="C7" s="20" t="s">
        <v>43</v>
      </c>
      <c r="D7" s="25" t="s">
        <v>13</v>
      </c>
      <c r="E7" s="25">
        <v>1</v>
      </c>
      <c r="F7" s="25">
        <v>1</v>
      </c>
      <c r="G7" s="25">
        <v>5</v>
      </c>
      <c r="H7" s="6" t="s">
        <v>58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0" t="s">
        <v>30</v>
      </c>
      <c r="C8" s="20" t="s">
        <v>5</v>
      </c>
      <c r="D8" s="20" t="s">
        <v>14</v>
      </c>
      <c r="E8" s="20" t="s">
        <v>15</v>
      </c>
      <c r="F8" s="20">
        <v>0</v>
      </c>
      <c r="G8" s="20">
        <v>2</v>
      </c>
      <c r="H8" s="27" t="s">
        <v>59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5" t="s">
        <v>104</v>
      </c>
      <c r="C9" s="25" t="s">
        <v>103</v>
      </c>
      <c r="D9" s="25" t="s">
        <v>13</v>
      </c>
      <c r="E9" s="25">
        <v>0</v>
      </c>
      <c r="F9" s="25">
        <v>0</v>
      </c>
      <c r="G9" s="25">
        <v>3</v>
      </c>
      <c r="H9" s="27" t="s">
        <v>105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136</v>
      </c>
      <c r="C10" s="25" t="s">
        <v>131</v>
      </c>
      <c r="D10" s="20" t="s">
        <v>13</v>
      </c>
      <c r="E10" s="20">
        <v>0</v>
      </c>
      <c r="F10" s="20">
        <v>0</v>
      </c>
      <c r="G10" s="20">
        <v>999</v>
      </c>
      <c r="H10" s="27" t="s">
        <v>134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10</v>
      </c>
      <c r="B11" s="25" t="s">
        <v>137</v>
      </c>
      <c r="C11" s="25" t="s">
        <v>132</v>
      </c>
      <c r="D11" s="20" t="s">
        <v>13</v>
      </c>
      <c r="E11" s="20">
        <v>0</v>
      </c>
      <c r="F11" s="20">
        <v>0</v>
      </c>
      <c r="G11" s="20">
        <v>999</v>
      </c>
      <c r="H11" s="27" t="s">
        <v>135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11</v>
      </c>
      <c r="B12" s="25" t="s">
        <v>60</v>
      </c>
      <c r="C12" s="25" t="s">
        <v>76</v>
      </c>
      <c r="D12" s="20" t="s">
        <v>13</v>
      </c>
      <c r="E12" s="20">
        <v>0</v>
      </c>
      <c r="F12" s="20">
        <v>0</v>
      </c>
      <c r="G12" s="20">
        <v>999</v>
      </c>
      <c r="H12" s="26" t="s">
        <v>80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9">
        <v>12</v>
      </c>
      <c r="B13" s="25" t="s">
        <v>138</v>
      </c>
      <c r="C13" s="25" t="s">
        <v>133</v>
      </c>
      <c r="D13" s="20" t="s">
        <v>13</v>
      </c>
      <c r="E13" s="20">
        <v>0</v>
      </c>
      <c r="F13" s="20">
        <v>0</v>
      </c>
      <c r="G13" s="20">
        <v>9999</v>
      </c>
      <c r="H13" s="26" t="s">
        <v>139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9">
        <v>13</v>
      </c>
      <c r="B14" s="25" t="s">
        <v>61</v>
      </c>
      <c r="C14" s="25" t="s">
        <v>77</v>
      </c>
      <c r="D14" s="20" t="s">
        <v>13</v>
      </c>
      <c r="E14" s="20">
        <v>0</v>
      </c>
      <c r="F14" s="20">
        <v>0</v>
      </c>
      <c r="G14" s="20">
        <v>999</v>
      </c>
      <c r="H14" s="26" t="s">
        <v>81</v>
      </c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9">
        <v>14</v>
      </c>
      <c r="B15" s="25" t="s">
        <v>154</v>
      </c>
      <c r="C15" s="25" t="s">
        <v>155</v>
      </c>
      <c r="D15" s="20" t="s">
        <v>13</v>
      </c>
      <c r="E15" s="20">
        <v>0</v>
      </c>
      <c r="F15" s="20">
        <v>0</v>
      </c>
      <c r="G15" s="20">
        <v>999</v>
      </c>
      <c r="H15" s="26" t="s">
        <v>156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9">
        <v>15</v>
      </c>
      <c r="B16" s="25" t="s">
        <v>419</v>
      </c>
      <c r="C16" s="25" t="s">
        <v>420</v>
      </c>
      <c r="D16" s="20" t="s">
        <v>14</v>
      </c>
      <c r="E16" s="20" t="s">
        <v>15</v>
      </c>
      <c r="F16" s="20">
        <v>0</v>
      </c>
      <c r="G16" s="20">
        <v>32</v>
      </c>
      <c r="H16" s="26" t="s">
        <v>421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9">
        <v>16</v>
      </c>
      <c r="B17" s="25" t="s">
        <v>62</v>
      </c>
      <c r="C17" s="25" t="s">
        <v>78</v>
      </c>
      <c r="D17" s="20" t="s">
        <v>14</v>
      </c>
      <c r="E17" s="20" t="s">
        <v>15</v>
      </c>
      <c r="F17" s="20">
        <v>0</v>
      </c>
      <c r="G17" s="20">
        <v>32</v>
      </c>
      <c r="H17" s="26" t="s">
        <v>140</v>
      </c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9">
        <v>17</v>
      </c>
      <c r="B18" s="25" t="s">
        <v>63</v>
      </c>
      <c r="C18" s="25" t="s">
        <v>90</v>
      </c>
      <c r="D18" s="20" t="s">
        <v>13</v>
      </c>
      <c r="E18" s="20">
        <v>0</v>
      </c>
      <c r="F18" s="20">
        <v>0</v>
      </c>
      <c r="G18" s="20">
        <v>100</v>
      </c>
      <c r="H18" s="26" t="s">
        <v>141</v>
      </c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9">
        <v>18</v>
      </c>
      <c r="B19" s="25" t="s">
        <v>142</v>
      </c>
      <c r="C19" s="25" t="s">
        <v>144</v>
      </c>
      <c r="D19" s="25" t="s">
        <v>34</v>
      </c>
      <c r="E19" s="25">
        <v>5</v>
      </c>
      <c r="F19" s="25">
        <v>1</v>
      </c>
      <c r="G19" s="20">
        <v>5</v>
      </c>
      <c r="H19" s="26" t="s">
        <v>146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9">
        <v>19</v>
      </c>
      <c r="B20" s="25" t="s">
        <v>143</v>
      </c>
      <c r="C20" s="25" t="s">
        <v>145</v>
      </c>
      <c r="D20" s="25" t="s">
        <v>14</v>
      </c>
      <c r="E20" s="25" t="s">
        <v>15</v>
      </c>
      <c r="F20" s="25">
        <v>0</v>
      </c>
      <c r="G20" s="20">
        <v>32</v>
      </c>
      <c r="H20" s="26" t="s">
        <v>147</v>
      </c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9">
        <v>20</v>
      </c>
      <c r="B21" s="25" t="s">
        <v>118</v>
      </c>
      <c r="C21" s="25" t="s">
        <v>39</v>
      </c>
      <c r="D21" s="25" t="s">
        <v>35</v>
      </c>
      <c r="E21" s="25" t="s">
        <v>36</v>
      </c>
      <c r="F21" s="25">
        <v>0</v>
      </c>
      <c r="G21" s="20">
        <v>0</v>
      </c>
      <c r="H21" s="26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9">
        <v>21</v>
      </c>
      <c r="B22" s="25" t="s">
        <v>64</v>
      </c>
      <c r="C22" s="25" t="s">
        <v>95</v>
      </c>
      <c r="D22" s="25" t="s">
        <v>79</v>
      </c>
      <c r="E22" s="25" t="b">
        <v>0</v>
      </c>
      <c r="F22" s="25">
        <v>0</v>
      </c>
      <c r="G22" s="25">
        <v>1</v>
      </c>
      <c r="H22" s="26" t="s">
        <v>82</v>
      </c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9">
        <v>22</v>
      </c>
      <c r="B23" s="25" t="s">
        <v>65</v>
      </c>
      <c r="C23" s="25" t="s">
        <v>67</v>
      </c>
      <c r="D23" s="20" t="s">
        <v>13</v>
      </c>
      <c r="E23" s="20">
        <v>1</v>
      </c>
      <c r="F23" s="20">
        <v>1</v>
      </c>
      <c r="G23" s="20">
        <v>99999999</v>
      </c>
      <c r="H23" s="26" t="s">
        <v>83</v>
      </c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9">
        <v>23</v>
      </c>
      <c r="B24" s="25" t="s">
        <v>66</v>
      </c>
      <c r="C24" s="25" t="s">
        <v>94</v>
      </c>
      <c r="D24" s="20" t="s">
        <v>13</v>
      </c>
      <c r="E24" s="20">
        <v>1</v>
      </c>
      <c r="F24" s="20">
        <v>1</v>
      </c>
      <c r="G24" s="20">
        <v>99999999</v>
      </c>
      <c r="H24" s="26" t="s">
        <v>84</v>
      </c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9">
        <v>24</v>
      </c>
      <c r="B25" s="25" t="s">
        <v>68</v>
      </c>
      <c r="C25" s="25" t="s">
        <v>69</v>
      </c>
      <c r="D25" s="20" t="s">
        <v>14</v>
      </c>
      <c r="E25" s="20" t="s">
        <v>15</v>
      </c>
      <c r="F25" s="20">
        <v>0</v>
      </c>
      <c r="G25" s="20">
        <v>32</v>
      </c>
      <c r="H25" s="26" t="s">
        <v>85</v>
      </c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9">
        <v>25</v>
      </c>
      <c r="B26" s="25" t="s">
        <v>86</v>
      </c>
      <c r="C26" s="25" t="s">
        <v>87</v>
      </c>
      <c r="D26" s="20" t="s">
        <v>13</v>
      </c>
      <c r="E26" s="20">
        <v>0</v>
      </c>
      <c r="F26" s="20">
        <v>0</v>
      </c>
      <c r="G26" s="20">
        <v>99</v>
      </c>
      <c r="H26" s="26" t="s">
        <v>88</v>
      </c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9">
        <v>26</v>
      </c>
      <c r="B27" s="25" t="s">
        <v>116</v>
      </c>
      <c r="C27" s="25" t="s">
        <v>114</v>
      </c>
      <c r="D27" s="20" t="s">
        <v>14</v>
      </c>
      <c r="E27" s="20" t="s">
        <v>15</v>
      </c>
      <c r="F27" s="20">
        <v>0</v>
      </c>
      <c r="G27" s="20">
        <v>32</v>
      </c>
      <c r="H27" s="26" t="s">
        <v>117</v>
      </c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9">
        <v>27</v>
      </c>
      <c r="B28" s="25" t="s">
        <v>70</v>
      </c>
      <c r="C28" s="25" t="s">
        <v>71</v>
      </c>
      <c r="D28" s="25" t="s">
        <v>34</v>
      </c>
      <c r="E28" s="25">
        <v>3</v>
      </c>
      <c r="F28" s="25">
        <v>1</v>
      </c>
      <c r="G28" s="20">
        <v>3</v>
      </c>
      <c r="H28" s="26" t="s">
        <v>74</v>
      </c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9">
        <v>28</v>
      </c>
      <c r="B29" s="25" t="s">
        <v>72</v>
      </c>
      <c r="C29" s="25" t="s">
        <v>73</v>
      </c>
      <c r="D29" s="25" t="s">
        <v>37</v>
      </c>
      <c r="E29" s="25" t="s">
        <v>38</v>
      </c>
      <c r="F29" s="25">
        <v>0</v>
      </c>
      <c r="G29" s="20">
        <v>32</v>
      </c>
      <c r="H29" s="26" t="s">
        <v>75</v>
      </c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9">
        <v>29</v>
      </c>
      <c r="B30" s="25" t="s">
        <v>118</v>
      </c>
      <c r="C30" s="25" t="s">
        <v>39</v>
      </c>
      <c r="D30" s="25" t="s">
        <v>35</v>
      </c>
      <c r="E30" s="25" t="s">
        <v>36</v>
      </c>
      <c r="F30" s="25">
        <v>0</v>
      </c>
      <c r="G30" s="20">
        <v>0</v>
      </c>
      <c r="H30" s="26"/>
      <c r="I30" s="1"/>
      <c r="J30" s="1"/>
      <c r="K30" s="1"/>
      <c r="L30" s="1"/>
      <c r="M30" s="1"/>
      <c r="N30" s="1"/>
      <c r="O30" s="1"/>
      <c r="P30" s="1"/>
    </row>
    <row r="31" spans="1:16" ht="17.25" thickBot="1" x14ac:dyDescent="0.35">
      <c r="A31" s="21"/>
      <c r="B31" s="22"/>
      <c r="C31" s="22"/>
      <c r="D31" s="22"/>
      <c r="E31" s="22"/>
      <c r="F31" s="22"/>
      <c r="G31" s="22"/>
      <c r="H31" s="7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23"/>
      <c r="B59" s="23"/>
      <c r="C59" s="23"/>
      <c r="D59" s="23"/>
      <c r="E59" s="23"/>
      <c r="F59" s="23"/>
      <c r="G59" s="23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23"/>
      <c r="B60" s="23"/>
      <c r="C60" s="23"/>
      <c r="D60" s="23"/>
      <c r="E60" s="23"/>
      <c r="F60" s="23"/>
      <c r="G60" s="23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23"/>
      <c r="B61" s="23"/>
      <c r="C61" s="23"/>
      <c r="D61" s="23"/>
      <c r="E61" s="23"/>
      <c r="F61" s="23"/>
      <c r="G61" s="23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23"/>
      <c r="B62" s="23"/>
      <c r="C62" s="23"/>
      <c r="D62" s="23"/>
      <c r="E62" s="23"/>
      <c r="F62" s="23"/>
      <c r="G62" s="23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23"/>
      <c r="B63" s="23"/>
      <c r="C63" s="23"/>
      <c r="D63" s="23"/>
      <c r="E63" s="23"/>
      <c r="F63" s="23"/>
      <c r="G63" s="23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23"/>
      <c r="B64" s="23"/>
      <c r="C64" s="23"/>
      <c r="D64" s="23"/>
      <c r="E64" s="23"/>
      <c r="F64" s="23"/>
      <c r="G64" s="23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23"/>
      <c r="B65" s="23"/>
      <c r="C65" s="23"/>
      <c r="D65" s="23"/>
      <c r="E65" s="23"/>
      <c r="F65" s="23"/>
      <c r="G65" s="23"/>
      <c r="H65" s="1"/>
      <c r="I65" s="1"/>
      <c r="J65" s="1"/>
      <c r="K65" s="1"/>
      <c r="L65" s="1"/>
      <c r="M65" s="1"/>
      <c r="N65" s="1"/>
      <c r="O65" s="1"/>
      <c r="P6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120"/>
  <sheetViews>
    <sheetView tabSelected="1" topLeftCell="H1" workbookViewId="0">
      <pane ySplit="1" topLeftCell="A23" activePane="bottomLeft" state="frozen"/>
      <selection activeCell="E1" sqref="E1"/>
      <selection pane="bottomLeft" activeCell="Z45" sqref="Z45"/>
    </sheetView>
  </sheetViews>
  <sheetFormatPr defaultRowHeight="16.5" x14ac:dyDescent="0.3"/>
  <cols>
    <col min="1" max="1" width="6.5" style="37" bestFit="1" customWidth="1"/>
    <col min="2" max="2" width="19.5" style="37" bestFit="1" customWidth="1"/>
    <col min="3" max="3" width="20.75" style="38" customWidth="1"/>
    <col min="4" max="5" width="27.625" style="37" customWidth="1"/>
    <col min="6" max="6" width="6.125" style="37" customWidth="1"/>
    <col min="7" max="7" width="7.75" style="37" customWidth="1"/>
    <col min="8" max="11" width="6.125" style="37" customWidth="1"/>
    <col min="12" max="14" width="7.5" style="37" customWidth="1"/>
    <col min="15" max="15" width="18.375" style="37" customWidth="1"/>
    <col min="16" max="16" width="8.375" style="37" customWidth="1"/>
    <col min="17" max="17" width="11.25" style="37" customWidth="1"/>
    <col min="18" max="22" width="18.375" style="37" customWidth="1"/>
    <col min="23" max="23" width="7.125" style="37" customWidth="1"/>
    <col min="24" max="24" width="9.25" style="37" customWidth="1"/>
    <col min="25" max="31" width="18.375" style="37" customWidth="1"/>
    <col min="32" max="16384" width="9" style="33"/>
  </cols>
  <sheetData>
    <row r="1" spans="1:31" x14ac:dyDescent="0.3">
      <c r="A1" s="29" t="s">
        <v>16</v>
      </c>
      <c r="B1" s="29" t="s">
        <v>22</v>
      </c>
      <c r="C1" s="30" t="s">
        <v>9</v>
      </c>
      <c r="D1" s="29" t="s">
        <v>18</v>
      </c>
      <c r="E1" s="29" t="s">
        <v>19</v>
      </c>
      <c r="F1" s="31" t="s">
        <v>40</v>
      </c>
      <c r="G1" s="29" t="s">
        <v>5</v>
      </c>
      <c r="H1" s="31" t="s">
        <v>106</v>
      </c>
      <c r="I1" s="31" t="s">
        <v>128</v>
      </c>
      <c r="J1" s="31" t="s">
        <v>129</v>
      </c>
      <c r="K1" s="31" t="s">
        <v>89</v>
      </c>
      <c r="L1" s="31" t="s">
        <v>130</v>
      </c>
      <c r="M1" s="31" t="s">
        <v>77</v>
      </c>
      <c r="N1" s="31" t="s">
        <v>155</v>
      </c>
      <c r="O1" s="32" t="s">
        <v>422</v>
      </c>
      <c r="P1" s="31" t="s">
        <v>91</v>
      </c>
      <c r="Q1" s="31" t="s">
        <v>92</v>
      </c>
      <c r="R1" s="32" t="s">
        <v>148</v>
      </c>
      <c r="S1" s="32" t="s">
        <v>149</v>
      </c>
      <c r="T1" s="32" t="s">
        <v>150</v>
      </c>
      <c r="U1" s="32" t="s">
        <v>151</v>
      </c>
      <c r="V1" s="32" t="s">
        <v>152</v>
      </c>
      <c r="W1" s="32" t="s">
        <v>96</v>
      </c>
      <c r="X1" s="32" t="s">
        <v>93</v>
      </c>
      <c r="Y1" s="32" t="s">
        <v>97</v>
      </c>
      <c r="Z1" s="32" t="s">
        <v>98</v>
      </c>
      <c r="AA1" s="32" t="s">
        <v>99</v>
      </c>
      <c r="AB1" s="32" t="s">
        <v>114</v>
      </c>
      <c r="AC1" s="32" t="s">
        <v>100</v>
      </c>
      <c r="AD1" s="32" t="s">
        <v>101</v>
      </c>
      <c r="AE1" s="32" t="s">
        <v>102</v>
      </c>
    </row>
    <row r="2" spans="1:31" x14ac:dyDescent="0.3">
      <c r="A2" s="34">
        <v>30000</v>
      </c>
      <c r="B2" s="35" t="s">
        <v>304</v>
      </c>
      <c r="C2" s="36" t="s">
        <v>119</v>
      </c>
      <c r="D2" s="34" t="str">
        <f t="shared" ref="D2:D53" si="0">"STR_"&amp;UPPER(C2)</f>
        <v>STR_ITEM_POTION_HEAL_01</v>
      </c>
      <c r="E2" s="34" t="str">
        <f t="shared" ref="E2:E53" si="1">D2&amp;"_DESC"</f>
        <v>STR_ITEM_POTION_HEAL_01_DESC</v>
      </c>
      <c r="F2" s="34">
        <v>0</v>
      </c>
      <c r="G2" s="34" t="s">
        <v>48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P2" s="34" t="s">
        <v>126</v>
      </c>
      <c r="Q2" s="34">
        <v>20</v>
      </c>
      <c r="R2" s="37" t="s">
        <v>41</v>
      </c>
      <c r="U2" s="37" t="s">
        <v>41</v>
      </c>
      <c r="V2" s="37" t="s">
        <v>41</v>
      </c>
      <c r="W2" s="34" t="b">
        <v>1</v>
      </c>
      <c r="X2" s="34">
        <v>200</v>
      </c>
      <c r="Y2" s="34">
        <v>0</v>
      </c>
      <c r="Z2" s="34" t="s">
        <v>41</v>
      </c>
      <c r="AA2" s="37">
        <v>0</v>
      </c>
      <c r="AB2" s="37" t="s">
        <v>115</v>
      </c>
      <c r="AC2" s="37" t="s">
        <v>41</v>
      </c>
      <c r="AD2" s="37" t="s">
        <v>41</v>
      </c>
      <c r="AE2" s="37" t="s">
        <v>41</v>
      </c>
    </row>
    <row r="3" spans="1:31" x14ac:dyDescent="0.3">
      <c r="A3" s="34">
        <v>30001</v>
      </c>
      <c r="B3" s="35" t="s">
        <v>305</v>
      </c>
      <c r="C3" s="36" t="s">
        <v>108</v>
      </c>
      <c r="D3" s="34" t="str">
        <f t="shared" si="0"/>
        <v>STR_ITEM_POTION_HEAL_02</v>
      </c>
      <c r="E3" s="34" t="str">
        <f t="shared" si="1"/>
        <v>STR_ITEM_POTION_HEAL_02_DESC</v>
      </c>
      <c r="F3" s="34">
        <v>0</v>
      </c>
      <c r="G3" s="34" t="s">
        <v>48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P3" s="34" t="s">
        <v>126</v>
      </c>
      <c r="Q3" s="34">
        <v>60</v>
      </c>
      <c r="R3" s="37" t="s">
        <v>41</v>
      </c>
      <c r="U3" s="37" t="s">
        <v>41</v>
      </c>
      <c r="V3" s="37" t="s">
        <v>41</v>
      </c>
      <c r="W3" s="34" t="b">
        <v>1</v>
      </c>
      <c r="X3" s="34">
        <v>600</v>
      </c>
      <c r="Y3" s="34">
        <v>0</v>
      </c>
      <c r="Z3" s="34" t="s">
        <v>41</v>
      </c>
      <c r="AA3" s="37">
        <v>0</v>
      </c>
      <c r="AB3" s="37" t="s">
        <v>265</v>
      </c>
      <c r="AC3" s="37" t="s">
        <v>41</v>
      </c>
      <c r="AD3" s="37" t="s">
        <v>41</v>
      </c>
      <c r="AE3" s="37" t="s">
        <v>41</v>
      </c>
    </row>
    <row r="4" spans="1:31" x14ac:dyDescent="0.3">
      <c r="A4" s="34">
        <v>30002</v>
      </c>
      <c r="B4" s="35" t="s">
        <v>306</v>
      </c>
      <c r="C4" s="36" t="s">
        <v>174</v>
      </c>
      <c r="D4" s="34" t="str">
        <f t="shared" ref="D4:D6" si="2">"STR_"&amp;UPPER(C4)</f>
        <v>STR_ITEM_POTION_HEAL_03</v>
      </c>
      <c r="E4" s="34" t="str">
        <f t="shared" ref="E4:E6" si="3">D4&amp;"_DESC"</f>
        <v>STR_ITEM_POTION_HEAL_03_DESC</v>
      </c>
      <c r="F4" s="34">
        <v>0</v>
      </c>
      <c r="G4" s="34" t="s">
        <v>48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P4" s="34" t="s">
        <v>126</v>
      </c>
      <c r="Q4" s="34">
        <v>100</v>
      </c>
      <c r="R4" s="37" t="s">
        <v>41</v>
      </c>
      <c r="U4" s="37" t="s">
        <v>41</v>
      </c>
      <c r="V4" s="37" t="s">
        <v>41</v>
      </c>
      <c r="W4" s="34" t="b">
        <v>1</v>
      </c>
      <c r="X4" s="34">
        <v>1000</v>
      </c>
      <c r="Y4" s="34">
        <v>0</v>
      </c>
      <c r="Z4" s="34" t="s">
        <v>41</v>
      </c>
      <c r="AA4" s="37">
        <v>0</v>
      </c>
      <c r="AB4" s="37" t="s">
        <v>266</v>
      </c>
      <c r="AC4" s="37" t="s">
        <v>41</v>
      </c>
      <c r="AD4" s="37" t="s">
        <v>41</v>
      </c>
      <c r="AE4" s="37" t="s">
        <v>41</v>
      </c>
    </row>
    <row r="5" spans="1:31" x14ac:dyDescent="0.3">
      <c r="A5" s="34">
        <v>30003</v>
      </c>
      <c r="B5" s="35" t="s">
        <v>307</v>
      </c>
      <c r="C5" s="36" t="s">
        <v>175</v>
      </c>
      <c r="D5" s="34" t="str">
        <f t="shared" si="2"/>
        <v>STR_ITEM_POTION_HEAL_04</v>
      </c>
      <c r="E5" s="34" t="str">
        <f t="shared" si="3"/>
        <v>STR_ITEM_POTION_HEAL_04_DESC</v>
      </c>
      <c r="F5" s="34">
        <v>0</v>
      </c>
      <c r="G5" s="34" t="s">
        <v>48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P5" s="34" t="s">
        <v>126</v>
      </c>
      <c r="Q5" s="34">
        <v>150</v>
      </c>
      <c r="R5" s="37" t="s">
        <v>41</v>
      </c>
      <c r="U5" s="37" t="s">
        <v>41</v>
      </c>
      <c r="V5" s="37" t="s">
        <v>41</v>
      </c>
      <c r="W5" s="34" t="b">
        <v>1</v>
      </c>
      <c r="X5" s="34">
        <v>1500</v>
      </c>
      <c r="Y5" s="34">
        <v>0</v>
      </c>
      <c r="Z5" s="34" t="s">
        <v>41</v>
      </c>
      <c r="AA5" s="37">
        <v>0</v>
      </c>
      <c r="AB5" s="37" t="s">
        <v>267</v>
      </c>
      <c r="AC5" s="37" t="s">
        <v>41</v>
      </c>
      <c r="AD5" s="37" t="s">
        <v>41</v>
      </c>
      <c r="AE5" s="37" t="s">
        <v>41</v>
      </c>
    </row>
    <row r="6" spans="1:31" x14ac:dyDescent="0.3">
      <c r="A6" s="34">
        <v>30004</v>
      </c>
      <c r="B6" s="35" t="s">
        <v>308</v>
      </c>
      <c r="C6" s="36" t="s">
        <v>176</v>
      </c>
      <c r="D6" s="34" t="str">
        <f t="shared" si="2"/>
        <v>STR_ITEM_POTION_HEAL_05</v>
      </c>
      <c r="E6" s="34" t="str">
        <f t="shared" si="3"/>
        <v>STR_ITEM_POTION_HEAL_05_DESC</v>
      </c>
      <c r="F6" s="34">
        <v>0</v>
      </c>
      <c r="G6" s="34" t="s">
        <v>48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P6" s="34" t="s">
        <v>126</v>
      </c>
      <c r="Q6" s="34">
        <v>200</v>
      </c>
      <c r="R6" s="37" t="s">
        <v>41</v>
      </c>
      <c r="U6" s="37" t="s">
        <v>41</v>
      </c>
      <c r="V6" s="37" t="s">
        <v>41</v>
      </c>
      <c r="W6" s="34" t="b">
        <v>1</v>
      </c>
      <c r="X6" s="34">
        <v>2000</v>
      </c>
      <c r="Y6" s="34">
        <v>0</v>
      </c>
      <c r="Z6" s="34" t="s">
        <v>41</v>
      </c>
      <c r="AA6" s="37">
        <v>0</v>
      </c>
      <c r="AB6" s="37" t="s">
        <v>268</v>
      </c>
      <c r="AC6" s="37" t="s">
        <v>41</v>
      </c>
      <c r="AD6" s="37" t="s">
        <v>41</v>
      </c>
      <c r="AE6" s="37" t="s">
        <v>41</v>
      </c>
    </row>
    <row r="7" spans="1:31" x14ac:dyDescent="0.3">
      <c r="A7" s="39">
        <v>31000</v>
      </c>
      <c r="B7" s="40" t="s">
        <v>383</v>
      </c>
      <c r="C7" s="41" t="s">
        <v>405</v>
      </c>
      <c r="D7" s="39" t="str">
        <f t="shared" si="0"/>
        <v>STR_ITEM_EQUIP_N_AR_01</v>
      </c>
      <c r="E7" s="39" t="str">
        <f t="shared" si="1"/>
        <v>STR_ITEM_EQUIP_N_AR_01_DESC</v>
      </c>
      <c r="F7" s="39">
        <v>1</v>
      </c>
      <c r="G7" s="39" t="s">
        <v>46</v>
      </c>
      <c r="H7" s="39">
        <v>2</v>
      </c>
      <c r="I7" s="39">
        <v>0</v>
      </c>
      <c r="J7" s="39">
        <v>0</v>
      </c>
      <c r="K7" s="39">
        <v>2</v>
      </c>
      <c r="L7" s="39">
        <v>0</v>
      </c>
      <c r="M7" s="39">
        <v>0</v>
      </c>
      <c r="N7" s="39">
        <v>0</v>
      </c>
      <c r="O7" s="39"/>
      <c r="P7" s="39" t="s">
        <v>44</v>
      </c>
      <c r="Q7" s="39">
        <v>0</v>
      </c>
      <c r="R7" s="39" t="s">
        <v>41</v>
      </c>
      <c r="S7" s="39"/>
      <c r="T7" s="39"/>
      <c r="U7" s="39" t="s">
        <v>41</v>
      </c>
      <c r="V7" s="39" t="s">
        <v>41</v>
      </c>
      <c r="W7" s="39" t="b">
        <v>0</v>
      </c>
      <c r="X7" s="39">
        <v>10</v>
      </c>
      <c r="Y7" s="39">
        <v>0</v>
      </c>
      <c r="Z7" s="39" t="s">
        <v>41</v>
      </c>
      <c r="AA7" s="39">
        <v>0</v>
      </c>
      <c r="AB7" s="39" t="s">
        <v>122</v>
      </c>
      <c r="AC7" s="37" t="s">
        <v>41</v>
      </c>
      <c r="AD7" s="37" t="s">
        <v>41</v>
      </c>
      <c r="AE7" s="37" t="s">
        <v>41</v>
      </c>
    </row>
    <row r="8" spans="1:31" x14ac:dyDescent="0.3">
      <c r="A8" s="39">
        <v>31001</v>
      </c>
      <c r="B8" s="40" t="s">
        <v>393</v>
      </c>
      <c r="C8" s="41" t="s">
        <v>177</v>
      </c>
      <c r="D8" s="39" t="str">
        <f t="shared" ref="D8:D21" si="4">"STR_"&amp;UPPER(C8)</f>
        <v>STR_ITEM_EQUIP_N_AR_02</v>
      </c>
      <c r="E8" s="39" t="str">
        <f t="shared" ref="E8:E21" si="5">D8&amp;"_DESC"</f>
        <v>STR_ITEM_EQUIP_N_AR_02_DESC</v>
      </c>
      <c r="F8" s="39">
        <v>1</v>
      </c>
      <c r="G8" s="39" t="s">
        <v>46</v>
      </c>
      <c r="H8" s="39">
        <v>2</v>
      </c>
      <c r="I8" s="39">
        <v>0</v>
      </c>
      <c r="J8" s="39">
        <v>0</v>
      </c>
      <c r="K8" s="39">
        <v>4</v>
      </c>
      <c r="L8" s="39">
        <v>0</v>
      </c>
      <c r="M8" s="39">
        <v>0</v>
      </c>
      <c r="N8" s="39">
        <v>0</v>
      </c>
      <c r="O8" s="39"/>
      <c r="P8" s="39" t="s">
        <v>44</v>
      </c>
      <c r="Q8" s="39">
        <v>0</v>
      </c>
      <c r="R8" s="39" t="s">
        <v>41</v>
      </c>
      <c r="S8" s="39"/>
      <c r="T8" s="39"/>
      <c r="U8" s="39" t="s">
        <v>41</v>
      </c>
      <c r="V8" s="39" t="s">
        <v>41</v>
      </c>
      <c r="W8" s="39" t="b">
        <v>0</v>
      </c>
      <c r="X8" s="39">
        <v>5000</v>
      </c>
      <c r="Y8" s="39">
        <v>0</v>
      </c>
      <c r="Z8" s="39" t="s">
        <v>41</v>
      </c>
      <c r="AA8" s="39">
        <v>0</v>
      </c>
      <c r="AB8" s="39" t="s">
        <v>269</v>
      </c>
      <c r="AC8" s="37" t="s">
        <v>41</v>
      </c>
      <c r="AD8" s="37" t="s">
        <v>41</v>
      </c>
      <c r="AE8" s="37" t="s">
        <v>41</v>
      </c>
    </row>
    <row r="9" spans="1:31" x14ac:dyDescent="0.3">
      <c r="A9" s="39">
        <v>31002</v>
      </c>
      <c r="B9" s="40" t="s">
        <v>394</v>
      </c>
      <c r="C9" s="41" t="s">
        <v>178</v>
      </c>
      <c r="D9" s="39" t="str">
        <f t="shared" si="4"/>
        <v>STR_ITEM_EQUIP_N_AR_03</v>
      </c>
      <c r="E9" s="39" t="str">
        <f t="shared" si="5"/>
        <v>STR_ITEM_EQUIP_N_AR_03_DESC</v>
      </c>
      <c r="F9" s="39">
        <v>1</v>
      </c>
      <c r="G9" s="39" t="s">
        <v>46</v>
      </c>
      <c r="H9" s="39">
        <v>2</v>
      </c>
      <c r="I9" s="39">
        <v>0</v>
      </c>
      <c r="J9" s="39">
        <v>0</v>
      </c>
      <c r="K9" s="39">
        <v>5</v>
      </c>
      <c r="L9" s="39">
        <v>0</v>
      </c>
      <c r="M9" s="39">
        <v>0</v>
      </c>
      <c r="N9" s="39">
        <v>0</v>
      </c>
      <c r="O9" s="39"/>
      <c r="P9" s="39" t="s">
        <v>44</v>
      </c>
      <c r="Q9" s="39">
        <v>0</v>
      </c>
      <c r="R9" s="39" t="s">
        <v>41</v>
      </c>
      <c r="S9" s="39"/>
      <c r="T9" s="39"/>
      <c r="U9" s="39" t="s">
        <v>41</v>
      </c>
      <c r="V9" s="39" t="s">
        <v>41</v>
      </c>
      <c r="W9" s="39" t="b">
        <v>0</v>
      </c>
      <c r="X9" s="39">
        <v>7500</v>
      </c>
      <c r="Y9" s="39">
        <v>0</v>
      </c>
      <c r="Z9" s="39" t="s">
        <v>41</v>
      </c>
      <c r="AA9" s="39">
        <v>0</v>
      </c>
      <c r="AB9" s="39" t="s">
        <v>270</v>
      </c>
      <c r="AC9" s="37" t="s">
        <v>41</v>
      </c>
      <c r="AD9" s="37" t="s">
        <v>41</v>
      </c>
      <c r="AE9" s="37" t="s">
        <v>41</v>
      </c>
    </row>
    <row r="10" spans="1:31" x14ac:dyDescent="0.3">
      <c r="A10" s="39">
        <v>31003</v>
      </c>
      <c r="B10" s="40" t="s">
        <v>395</v>
      </c>
      <c r="C10" s="41" t="s">
        <v>179</v>
      </c>
      <c r="D10" s="39" t="str">
        <f t="shared" ref="D10" si="6">"STR_"&amp;UPPER(C10)</f>
        <v>STR_ITEM_EQUIP_N_AR_04</v>
      </c>
      <c r="E10" s="39" t="str">
        <f t="shared" ref="E10" si="7">D10&amp;"_DESC"</f>
        <v>STR_ITEM_EQUIP_N_AR_04_DESC</v>
      </c>
      <c r="F10" s="39">
        <v>1</v>
      </c>
      <c r="G10" s="39" t="s">
        <v>46</v>
      </c>
      <c r="H10" s="39">
        <v>2</v>
      </c>
      <c r="I10" s="39">
        <v>0</v>
      </c>
      <c r="J10" s="39">
        <v>0</v>
      </c>
      <c r="K10" s="39">
        <v>5</v>
      </c>
      <c r="L10" s="39">
        <v>0</v>
      </c>
      <c r="M10" s="39">
        <v>0</v>
      </c>
      <c r="N10" s="39">
        <v>0</v>
      </c>
      <c r="O10" s="39"/>
      <c r="P10" s="39" t="s">
        <v>44</v>
      </c>
      <c r="Q10" s="39">
        <v>0</v>
      </c>
      <c r="R10" s="39" t="s">
        <v>157</v>
      </c>
      <c r="S10" s="39" t="s">
        <v>158</v>
      </c>
      <c r="T10" s="39" t="s">
        <v>159</v>
      </c>
      <c r="U10" s="39" t="s">
        <v>160</v>
      </c>
      <c r="V10" s="39" t="s">
        <v>161</v>
      </c>
      <c r="W10" s="39" t="b">
        <v>0</v>
      </c>
      <c r="X10" s="39">
        <v>10000</v>
      </c>
      <c r="Y10" s="39">
        <v>0</v>
      </c>
      <c r="Z10" s="39" t="s">
        <v>41</v>
      </c>
      <c r="AA10" s="39">
        <v>0</v>
      </c>
      <c r="AB10" s="39" t="s">
        <v>271</v>
      </c>
      <c r="AC10" s="37" t="s">
        <v>41</v>
      </c>
      <c r="AD10" s="37" t="s">
        <v>41</v>
      </c>
      <c r="AE10" s="37" t="s">
        <v>41</v>
      </c>
    </row>
    <row r="11" spans="1:31" x14ac:dyDescent="0.3">
      <c r="A11" s="39">
        <v>31004</v>
      </c>
      <c r="B11" s="40" t="s">
        <v>309</v>
      </c>
      <c r="C11" s="41" t="s">
        <v>198</v>
      </c>
      <c r="D11" s="39" t="str">
        <f t="shared" ref="D11:D19" si="8">"STR_"&amp;UPPER(C11)</f>
        <v>STR_ITEM_EQUIP_N_AR_08</v>
      </c>
      <c r="E11" s="39" t="str">
        <f t="shared" ref="E11:E19" si="9">D11&amp;"_DESC"</f>
        <v>STR_ITEM_EQUIP_N_AR_08_DESC</v>
      </c>
      <c r="F11" s="39">
        <v>2</v>
      </c>
      <c r="G11" s="39" t="s">
        <v>46</v>
      </c>
      <c r="H11" s="39">
        <v>2</v>
      </c>
      <c r="I11" s="39">
        <v>0</v>
      </c>
      <c r="J11" s="39">
        <v>0</v>
      </c>
      <c r="K11" s="39">
        <v>8</v>
      </c>
      <c r="L11" s="39">
        <v>0</v>
      </c>
      <c r="M11" s="39">
        <v>0</v>
      </c>
      <c r="N11" s="39">
        <v>0</v>
      </c>
      <c r="O11" s="39"/>
      <c r="P11" s="39" t="s">
        <v>44</v>
      </c>
      <c r="Q11" s="39">
        <v>0</v>
      </c>
      <c r="R11" s="39" t="s">
        <v>41</v>
      </c>
      <c r="S11" s="39"/>
      <c r="T11" s="39"/>
      <c r="U11" s="39" t="s">
        <v>41</v>
      </c>
      <c r="V11" s="39" t="s">
        <v>41</v>
      </c>
      <c r="W11" s="39" t="b">
        <v>0</v>
      </c>
      <c r="X11" s="39">
        <v>50000</v>
      </c>
      <c r="Y11" s="39">
        <v>0</v>
      </c>
      <c r="Z11" s="39" t="s">
        <v>41</v>
      </c>
      <c r="AA11" s="39">
        <v>0</v>
      </c>
      <c r="AB11" s="39" t="s">
        <v>275</v>
      </c>
      <c r="AC11" s="37" t="s">
        <v>41</v>
      </c>
      <c r="AD11" s="37" t="s">
        <v>41</v>
      </c>
      <c r="AE11" s="37" t="s">
        <v>41</v>
      </c>
    </row>
    <row r="12" spans="1:31" x14ac:dyDescent="0.3">
      <c r="A12" s="39">
        <v>31005</v>
      </c>
      <c r="B12" s="40" t="s">
        <v>310</v>
      </c>
      <c r="C12" s="41" t="s">
        <v>199</v>
      </c>
      <c r="D12" s="39" t="str">
        <f t="shared" si="8"/>
        <v>STR_ITEM_EQUIP_N_AR_09</v>
      </c>
      <c r="E12" s="39" t="str">
        <f t="shared" si="9"/>
        <v>STR_ITEM_EQUIP_N_AR_09_DESC</v>
      </c>
      <c r="F12" s="39">
        <v>2</v>
      </c>
      <c r="G12" s="39" t="s">
        <v>46</v>
      </c>
      <c r="H12" s="39">
        <v>2</v>
      </c>
      <c r="I12" s="39">
        <v>0</v>
      </c>
      <c r="J12" s="39">
        <v>0</v>
      </c>
      <c r="K12" s="39">
        <v>9</v>
      </c>
      <c r="L12" s="39">
        <v>0</v>
      </c>
      <c r="M12" s="39">
        <v>0</v>
      </c>
      <c r="N12" s="39">
        <v>0</v>
      </c>
      <c r="O12" s="39"/>
      <c r="P12" s="39" t="s">
        <v>44</v>
      </c>
      <c r="Q12" s="39">
        <v>0</v>
      </c>
      <c r="R12" s="39" t="s">
        <v>41</v>
      </c>
      <c r="S12" s="39"/>
      <c r="T12" s="39"/>
      <c r="U12" s="39" t="s">
        <v>41</v>
      </c>
      <c r="V12" s="39" t="s">
        <v>41</v>
      </c>
      <c r="W12" s="39" t="b">
        <v>0</v>
      </c>
      <c r="X12" s="39">
        <v>75000</v>
      </c>
      <c r="Y12" s="39">
        <v>0</v>
      </c>
      <c r="Z12" s="39" t="s">
        <v>41</v>
      </c>
      <c r="AA12" s="39">
        <v>0</v>
      </c>
      <c r="AB12" s="39" t="s">
        <v>276</v>
      </c>
      <c r="AC12" s="37" t="s">
        <v>41</v>
      </c>
      <c r="AD12" s="37" t="s">
        <v>41</v>
      </c>
      <c r="AE12" s="37" t="s">
        <v>41</v>
      </c>
    </row>
    <row r="13" spans="1:31" x14ac:dyDescent="0.3">
      <c r="A13" s="39">
        <v>31006</v>
      </c>
      <c r="B13" s="40" t="s">
        <v>311</v>
      </c>
      <c r="C13" s="41" t="s">
        <v>200</v>
      </c>
      <c r="D13" s="39" t="str">
        <f t="shared" si="8"/>
        <v>STR_ITEM_EQUIP_N_AR_10</v>
      </c>
      <c r="E13" s="39" t="str">
        <f t="shared" si="9"/>
        <v>STR_ITEM_EQUIP_N_AR_10_DESC</v>
      </c>
      <c r="F13" s="39">
        <v>2</v>
      </c>
      <c r="G13" s="39" t="s">
        <v>46</v>
      </c>
      <c r="H13" s="39">
        <v>2</v>
      </c>
      <c r="I13" s="39">
        <v>0</v>
      </c>
      <c r="J13" s="39">
        <v>0</v>
      </c>
      <c r="K13" s="39">
        <v>9</v>
      </c>
      <c r="L13" s="39">
        <v>0</v>
      </c>
      <c r="M13" s="39">
        <v>0</v>
      </c>
      <c r="N13" s="39">
        <v>0</v>
      </c>
      <c r="O13" s="39"/>
      <c r="P13" s="39" t="s">
        <v>44</v>
      </c>
      <c r="Q13" s="39">
        <v>0</v>
      </c>
      <c r="R13" s="39" t="s">
        <v>157</v>
      </c>
      <c r="S13" s="39" t="s">
        <v>158</v>
      </c>
      <c r="T13" s="39" t="s">
        <v>159</v>
      </c>
      <c r="U13" s="39" t="s">
        <v>160</v>
      </c>
      <c r="V13" s="39" t="s">
        <v>161</v>
      </c>
      <c r="W13" s="39" t="b">
        <v>0</v>
      </c>
      <c r="X13" s="39">
        <v>100000</v>
      </c>
      <c r="Y13" s="39">
        <v>0</v>
      </c>
      <c r="Z13" s="39" t="s">
        <v>41</v>
      </c>
      <c r="AA13" s="39">
        <v>0</v>
      </c>
      <c r="AB13" s="39" t="s">
        <v>276</v>
      </c>
      <c r="AC13" s="37" t="s">
        <v>41</v>
      </c>
      <c r="AD13" s="37" t="s">
        <v>41</v>
      </c>
      <c r="AE13" s="37" t="s">
        <v>41</v>
      </c>
    </row>
    <row r="14" spans="1:31" x14ac:dyDescent="0.3">
      <c r="A14" s="39">
        <v>31007</v>
      </c>
      <c r="B14" s="40" t="s">
        <v>315</v>
      </c>
      <c r="C14" s="41" t="s">
        <v>204</v>
      </c>
      <c r="D14" s="39" t="str">
        <f t="shared" si="8"/>
        <v>STR_ITEM_EQUIP_N_AR_14</v>
      </c>
      <c r="E14" s="39" t="str">
        <f t="shared" si="9"/>
        <v>STR_ITEM_EQUIP_N_AR_14_DESC</v>
      </c>
      <c r="F14" s="39">
        <v>3</v>
      </c>
      <c r="G14" s="39" t="s">
        <v>46</v>
      </c>
      <c r="H14" s="39">
        <v>2</v>
      </c>
      <c r="I14" s="39">
        <v>0</v>
      </c>
      <c r="J14" s="39">
        <v>0</v>
      </c>
      <c r="K14" s="39">
        <v>12</v>
      </c>
      <c r="L14" s="39">
        <v>0</v>
      </c>
      <c r="M14" s="39">
        <v>0</v>
      </c>
      <c r="N14" s="39">
        <v>0</v>
      </c>
      <c r="O14" s="39"/>
      <c r="P14" s="39" t="s">
        <v>44</v>
      </c>
      <c r="Q14" s="39">
        <v>0</v>
      </c>
      <c r="R14" s="39" t="s">
        <v>41</v>
      </c>
      <c r="S14" s="39"/>
      <c r="T14" s="39"/>
      <c r="U14" s="39" t="s">
        <v>41</v>
      </c>
      <c r="V14" s="39" t="s">
        <v>41</v>
      </c>
      <c r="W14" s="39" t="b">
        <v>0</v>
      </c>
      <c r="X14" s="39">
        <v>500000</v>
      </c>
      <c r="Y14" s="39">
        <v>0</v>
      </c>
      <c r="Z14" s="39" t="s">
        <v>41</v>
      </c>
      <c r="AA14" s="39">
        <v>0</v>
      </c>
      <c r="AB14" s="39" t="s">
        <v>280</v>
      </c>
      <c r="AC14" s="37" t="s">
        <v>41</v>
      </c>
      <c r="AD14" s="37" t="s">
        <v>41</v>
      </c>
      <c r="AE14" s="37" t="s">
        <v>41</v>
      </c>
    </row>
    <row r="15" spans="1:31" x14ac:dyDescent="0.3">
      <c r="A15" s="39">
        <v>31008</v>
      </c>
      <c r="B15" s="40" t="s">
        <v>316</v>
      </c>
      <c r="C15" s="41" t="s">
        <v>205</v>
      </c>
      <c r="D15" s="39" t="str">
        <f t="shared" si="8"/>
        <v>STR_ITEM_EQUIP_N_AR_15</v>
      </c>
      <c r="E15" s="39" t="str">
        <f t="shared" si="9"/>
        <v>STR_ITEM_EQUIP_N_AR_15_DESC</v>
      </c>
      <c r="F15" s="39">
        <v>3</v>
      </c>
      <c r="G15" s="39" t="s">
        <v>46</v>
      </c>
      <c r="H15" s="39">
        <v>2</v>
      </c>
      <c r="I15" s="39">
        <v>0</v>
      </c>
      <c r="J15" s="39">
        <v>0</v>
      </c>
      <c r="K15" s="39">
        <v>13</v>
      </c>
      <c r="L15" s="39">
        <v>0</v>
      </c>
      <c r="M15" s="39">
        <v>0</v>
      </c>
      <c r="N15" s="39">
        <v>0</v>
      </c>
      <c r="O15" s="39"/>
      <c r="P15" s="39" t="s">
        <v>44</v>
      </c>
      <c r="Q15" s="39">
        <v>0</v>
      </c>
      <c r="R15" s="39" t="s">
        <v>41</v>
      </c>
      <c r="S15" s="39"/>
      <c r="T15" s="39"/>
      <c r="U15" s="39" t="s">
        <v>41</v>
      </c>
      <c r="V15" s="39" t="s">
        <v>41</v>
      </c>
      <c r="W15" s="39" t="b">
        <v>0</v>
      </c>
      <c r="X15" s="39">
        <v>750000</v>
      </c>
      <c r="Y15" s="39">
        <v>0</v>
      </c>
      <c r="Z15" s="39" t="s">
        <v>41</v>
      </c>
      <c r="AA15" s="39">
        <v>0</v>
      </c>
      <c r="AB15" s="39" t="s">
        <v>281</v>
      </c>
      <c r="AC15" s="37" t="s">
        <v>41</v>
      </c>
      <c r="AD15" s="37" t="s">
        <v>41</v>
      </c>
      <c r="AE15" s="37" t="s">
        <v>41</v>
      </c>
    </row>
    <row r="16" spans="1:31" x14ac:dyDescent="0.3">
      <c r="A16" s="39">
        <v>31009</v>
      </c>
      <c r="B16" s="40" t="s">
        <v>317</v>
      </c>
      <c r="C16" s="41" t="s">
        <v>206</v>
      </c>
      <c r="D16" s="39" t="str">
        <f t="shared" si="8"/>
        <v>STR_ITEM_EQUIP_N_AR_16</v>
      </c>
      <c r="E16" s="39" t="str">
        <f t="shared" si="9"/>
        <v>STR_ITEM_EQUIP_N_AR_16_DESC</v>
      </c>
      <c r="F16" s="39">
        <v>3</v>
      </c>
      <c r="G16" s="39" t="s">
        <v>46</v>
      </c>
      <c r="H16" s="39">
        <v>2</v>
      </c>
      <c r="I16" s="39">
        <v>0</v>
      </c>
      <c r="J16" s="39">
        <v>0</v>
      </c>
      <c r="K16" s="39">
        <v>13</v>
      </c>
      <c r="L16" s="39">
        <v>0</v>
      </c>
      <c r="M16" s="39">
        <v>0</v>
      </c>
      <c r="N16" s="39">
        <v>0</v>
      </c>
      <c r="O16" s="39"/>
      <c r="P16" s="39" t="s">
        <v>44</v>
      </c>
      <c r="Q16" s="39">
        <v>0</v>
      </c>
      <c r="R16" s="39" t="s">
        <v>157</v>
      </c>
      <c r="S16" s="39" t="s">
        <v>158</v>
      </c>
      <c r="T16" s="39" t="s">
        <v>159</v>
      </c>
      <c r="U16" s="39" t="s">
        <v>160</v>
      </c>
      <c r="V16" s="39" t="s">
        <v>161</v>
      </c>
      <c r="W16" s="39" t="b">
        <v>0</v>
      </c>
      <c r="X16" s="39">
        <v>1000000</v>
      </c>
      <c r="Y16" s="39">
        <v>0</v>
      </c>
      <c r="Z16" s="39" t="s">
        <v>41</v>
      </c>
      <c r="AA16" s="39">
        <v>0</v>
      </c>
      <c r="AB16" s="39" t="s">
        <v>281</v>
      </c>
      <c r="AC16" s="37" t="s">
        <v>41</v>
      </c>
      <c r="AD16" s="37" t="s">
        <v>41</v>
      </c>
      <c r="AE16" s="37" t="s">
        <v>41</v>
      </c>
    </row>
    <row r="17" spans="1:31" x14ac:dyDescent="0.3">
      <c r="A17" s="39">
        <v>31010</v>
      </c>
      <c r="B17" s="40" t="s">
        <v>318</v>
      </c>
      <c r="C17" s="41" t="s">
        <v>210</v>
      </c>
      <c r="D17" s="39" t="str">
        <f t="shared" si="8"/>
        <v>STR_ITEM_EQUIP_N_AR_20</v>
      </c>
      <c r="E17" s="39" t="str">
        <f t="shared" si="9"/>
        <v>STR_ITEM_EQUIP_N_AR_20_DESC</v>
      </c>
      <c r="F17" s="39">
        <v>4</v>
      </c>
      <c r="G17" s="39" t="s">
        <v>46</v>
      </c>
      <c r="H17" s="39">
        <v>2</v>
      </c>
      <c r="I17" s="39">
        <v>0</v>
      </c>
      <c r="J17" s="39">
        <v>0</v>
      </c>
      <c r="K17" s="39">
        <v>16</v>
      </c>
      <c r="L17" s="39">
        <v>0</v>
      </c>
      <c r="M17" s="39">
        <v>0</v>
      </c>
      <c r="N17" s="39">
        <v>0</v>
      </c>
      <c r="O17" s="39"/>
      <c r="P17" s="39" t="s">
        <v>44</v>
      </c>
      <c r="Q17" s="39">
        <v>0</v>
      </c>
      <c r="R17" s="39" t="s">
        <v>41</v>
      </c>
      <c r="S17" s="39"/>
      <c r="T17" s="39"/>
      <c r="U17" s="39" t="s">
        <v>41</v>
      </c>
      <c r="V17" s="39" t="s">
        <v>41</v>
      </c>
      <c r="W17" s="39" t="b">
        <v>0</v>
      </c>
      <c r="X17" s="39">
        <v>5000000</v>
      </c>
      <c r="Y17" s="39">
        <v>0</v>
      </c>
      <c r="Z17" s="39" t="s">
        <v>41</v>
      </c>
      <c r="AA17" s="39">
        <v>0</v>
      </c>
      <c r="AB17" s="39" t="s">
        <v>280</v>
      </c>
      <c r="AC17" s="39" t="s">
        <v>41</v>
      </c>
      <c r="AD17" s="39" t="s">
        <v>41</v>
      </c>
      <c r="AE17" s="39" t="s">
        <v>41</v>
      </c>
    </row>
    <row r="18" spans="1:31" x14ac:dyDescent="0.3">
      <c r="A18" s="39">
        <v>31011</v>
      </c>
      <c r="B18" s="40" t="s">
        <v>319</v>
      </c>
      <c r="C18" s="41" t="s">
        <v>211</v>
      </c>
      <c r="D18" s="39" t="str">
        <f t="shared" si="8"/>
        <v>STR_ITEM_EQUIP_N_AR_21</v>
      </c>
      <c r="E18" s="39" t="str">
        <f t="shared" si="9"/>
        <v>STR_ITEM_EQUIP_N_AR_21_DESC</v>
      </c>
      <c r="F18" s="39">
        <v>4</v>
      </c>
      <c r="G18" s="39" t="s">
        <v>46</v>
      </c>
      <c r="H18" s="39">
        <v>2</v>
      </c>
      <c r="I18" s="39">
        <v>0</v>
      </c>
      <c r="J18" s="39">
        <v>0</v>
      </c>
      <c r="K18" s="39">
        <v>17</v>
      </c>
      <c r="L18" s="39">
        <v>0</v>
      </c>
      <c r="M18" s="39">
        <v>0</v>
      </c>
      <c r="N18" s="39">
        <v>0</v>
      </c>
      <c r="O18" s="39"/>
      <c r="P18" s="39" t="s">
        <v>44</v>
      </c>
      <c r="Q18" s="39">
        <v>0</v>
      </c>
      <c r="R18" s="39" t="s">
        <v>41</v>
      </c>
      <c r="S18" s="39"/>
      <c r="T18" s="39"/>
      <c r="U18" s="39" t="s">
        <v>41</v>
      </c>
      <c r="V18" s="39" t="s">
        <v>41</v>
      </c>
      <c r="W18" s="39" t="b">
        <v>0</v>
      </c>
      <c r="X18" s="39">
        <v>7500000</v>
      </c>
      <c r="Y18" s="39">
        <v>0</v>
      </c>
      <c r="Z18" s="39" t="s">
        <v>41</v>
      </c>
      <c r="AA18" s="39">
        <v>0</v>
      </c>
      <c r="AB18" s="39" t="s">
        <v>281</v>
      </c>
      <c r="AC18" s="39" t="s">
        <v>41</v>
      </c>
      <c r="AD18" s="39" t="s">
        <v>41</v>
      </c>
      <c r="AE18" s="39" t="s">
        <v>41</v>
      </c>
    </row>
    <row r="19" spans="1:31" x14ac:dyDescent="0.3">
      <c r="A19" s="39">
        <v>31012</v>
      </c>
      <c r="B19" s="40" t="s">
        <v>320</v>
      </c>
      <c r="C19" s="41" t="s">
        <v>212</v>
      </c>
      <c r="D19" s="39" t="str">
        <f t="shared" si="8"/>
        <v>STR_ITEM_EQUIP_N_AR_22</v>
      </c>
      <c r="E19" s="39" t="str">
        <f t="shared" si="9"/>
        <v>STR_ITEM_EQUIP_N_AR_22_DESC</v>
      </c>
      <c r="F19" s="39">
        <v>4</v>
      </c>
      <c r="G19" s="39" t="s">
        <v>46</v>
      </c>
      <c r="H19" s="39">
        <v>2</v>
      </c>
      <c r="I19" s="39">
        <v>0</v>
      </c>
      <c r="J19" s="39">
        <v>0</v>
      </c>
      <c r="K19" s="39">
        <v>17</v>
      </c>
      <c r="L19" s="39">
        <v>0</v>
      </c>
      <c r="M19" s="39">
        <v>0</v>
      </c>
      <c r="N19" s="39">
        <v>0</v>
      </c>
      <c r="O19" s="39"/>
      <c r="P19" s="39" t="s">
        <v>44</v>
      </c>
      <c r="Q19" s="39">
        <v>0</v>
      </c>
      <c r="R19" s="39" t="s">
        <v>157</v>
      </c>
      <c r="S19" s="39" t="s">
        <v>158</v>
      </c>
      <c r="T19" s="39" t="s">
        <v>159</v>
      </c>
      <c r="U19" s="39" t="s">
        <v>160</v>
      </c>
      <c r="V19" s="39" t="s">
        <v>161</v>
      </c>
      <c r="W19" s="39" t="b">
        <v>0</v>
      </c>
      <c r="X19" s="39">
        <v>10000000</v>
      </c>
      <c r="Y19" s="39">
        <v>0</v>
      </c>
      <c r="Z19" s="39" t="s">
        <v>41</v>
      </c>
      <c r="AA19" s="39">
        <v>0</v>
      </c>
      <c r="AB19" s="39" t="s">
        <v>281</v>
      </c>
      <c r="AC19" s="39" t="s">
        <v>41</v>
      </c>
      <c r="AD19" s="39" t="s">
        <v>41</v>
      </c>
      <c r="AE19" s="39" t="s">
        <v>41</v>
      </c>
    </row>
    <row r="20" spans="1:31" x14ac:dyDescent="0.3">
      <c r="A20" s="39">
        <v>31300</v>
      </c>
      <c r="B20" s="40" t="s">
        <v>384</v>
      </c>
      <c r="C20" s="41" t="s">
        <v>180</v>
      </c>
      <c r="D20" s="39" t="str">
        <f t="shared" si="4"/>
        <v>STR_ITEM_EQUIP_N_AR_05</v>
      </c>
      <c r="E20" s="39" t="str">
        <f t="shared" si="5"/>
        <v>STR_ITEM_EQUIP_N_AR_05_DESC</v>
      </c>
      <c r="F20" s="39">
        <v>1</v>
      </c>
      <c r="G20" s="39" t="s">
        <v>46</v>
      </c>
      <c r="H20" s="39">
        <v>2</v>
      </c>
      <c r="I20" s="39">
        <v>0</v>
      </c>
      <c r="J20" s="39">
        <v>0</v>
      </c>
      <c r="K20" s="39">
        <v>2</v>
      </c>
      <c r="L20" s="39">
        <v>0</v>
      </c>
      <c r="M20" s="39">
        <v>0</v>
      </c>
      <c r="N20" s="39">
        <v>20</v>
      </c>
      <c r="O20" s="39"/>
      <c r="P20" s="39" t="s">
        <v>44</v>
      </c>
      <c r="Q20" s="39">
        <v>0</v>
      </c>
      <c r="R20" s="39" t="s">
        <v>41</v>
      </c>
      <c r="S20" s="39"/>
      <c r="T20" s="39"/>
      <c r="U20" s="39" t="s">
        <v>41</v>
      </c>
      <c r="V20" s="39" t="s">
        <v>41</v>
      </c>
      <c r="W20" s="39" t="b">
        <v>0</v>
      </c>
      <c r="X20" s="39">
        <v>5000</v>
      </c>
      <c r="Y20" s="39">
        <v>0</v>
      </c>
      <c r="Z20" s="39" t="s">
        <v>41</v>
      </c>
      <c r="AA20" s="39">
        <v>0</v>
      </c>
      <c r="AB20" s="39" t="s">
        <v>272</v>
      </c>
      <c r="AC20" s="37" t="s">
        <v>41</v>
      </c>
      <c r="AD20" s="37" t="s">
        <v>41</v>
      </c>
      <c r="AE20" s="37" t="s">
        <v>41</v>
      </c>
    </row>
    <row r="21" spans="1:31" x14ac:dyDescent="0.3">
      <c r="A21" s="39">
        <v>31301</v>
      </c>
      <c r="B21" s="40" t="s">
        <v>385</v>
      </c>
      <c r="C21" s="41" t="s">
        <v>181</v>
      </c>
      <c r="D21" s="39" t="str">
        <f t="shared" si="4"/>
        <v>STR_ITEM_EQUIP_N_AR_06</v>
      </c>
      <c r="E21" s="39" t="str">
        <f t="shared" si="5"/>
        <v>STR_ITEM_EQUIP_N_AR_06_DESC</v>
      </c>
      <c r="F21" s="39">
        <v>1</v>
      </c>
      <c r="G21" s="39" t="s">
        <v>46</v>
      </c>
      <c r="H21" s="39">
        <v>2</v>
      </c>
      <c r="I21" s="39">
        <v>0</v>
      </c>
      <c r="J21" s="39">
        <v>0</v>
      </c>
      <c r="K21" s="39">
        <v>3</v>
      </c>
      <c r="L21" s="39">
        <v>0</v>
      </c>
      <c r="M21" s="39">
        <v>0</v>
      </c>
      <c r="N21" s="39">
        <v>30</v>
      </c>
      <c r="O21" s="39"/>
      <c r="P21" s="39" t="s">
        <v>44</v>
      </c>
      <c r="Q21" s="39">
        <v>0</v>
      </c>
      <c r="R21" s="39" t="s">
        <v>41</v>
      </c>
      <c r="S21" s="39"/>
      <c r="T21" s="39"/>
      <c r="U21" s="39" t="s">
        <v>41</v>
      </c>
      <c r="V21" s="39" t="s">
        <v>41</v>
      </c>
      <c r="W21" s="39" t="b">
        <v>0</v>
      </c>
      <c r="X21" s="39">
        <v>7500</v>
      </c>
      <c r="Y21" s="39">
        <v>0</v>
      </c>
      <c r="Z21" s="39" t="s">
        <v>41</v>
      </c>
      <c r="AA21" s="39">
        <v>0</v>
      </c>
      <c r="AB21" s="39" t="s">
        <v>273</v>
      </c>
      <c r="AC21" s="37" t="s">
        <v>41</v>
      </c>
      <c r="AD21" s="37" t="s">
        <v>41</v>
      </c>
      <c r="AE21" s="37" t="s">
        <v>41</v>
      </c>
    </row>
    <row r="22" spans="1:31" x14ac:dyDescent="0.3">
      <c r="A22" s="39">
        <v>31302</v>
      </c>
      <c r="B22" s="40" t="s">
        <v>386</v>
      </c>
      <c r="C22" s="41" t="s">
        <v>182</v>
      </c>
      <c r="D22" s="39" t="str">
        <f t="shared" ref="D22:D24" si="10">"STR_"&amp;UPPER(C22)</f>
        <v>STR_ITEM_EQUIP_N_AR_07</v>
      </c>
      <c r="E22" s="39" t="str">
        <f t="shared" ref="E22:E24" si="11">D22&amp;"_DESC"</f>
        <v>STR_ITEM_EQUIP_N_AR_07_DESC</v>
      </c>
      <c r="F22" s="39">
        <v>1</v>
      </c>
      <c r="G22" s="39" t="s">
        <v>46</v>
      </c>
      <c r="H22" s="39">
        <v>2</v>
      </c>
      <c r="I22" s="39">
        <v>0</v>
      </c>
      <c r="J22" s="39">
        <v>0</v>
      </c>
      <c r="K22" s="39">
        <v>3</v>
      </c>
      <c r="L22" s="39">
        <v>0</v>
      </c>
      <c r="M22" s="39">
        <v>0</v>
      </c>
      <c r="N22" s="39">
        <v>30</v>
      </c>
      <c r="O22" s="39"/>
      <c r="P22" s="39" t="s">
        <v>44</v>
      </c>
      <c r="Q22" s="39">
        <v>0</v>
      </c>
      <c r="R22" s="39" t="s">
        <v>157</v>
      </c>
      <c r="S22" s="39" t="s">
        <v>158</v>
      </c>
      <c r="T22" s="39" t="s">
        <v>159</v>
      </c>
      <c r="U22" s="39" t="s">
        <v>160</v>
      </c>
      <c r="V22" s="39" t="s">
        <v>161</v>
      </c>
      <c r="W22" s="39" t="b">
        <v>0</v>
      </c>
      <c r="X22" s="39">
        <v>10000</v>
      </c>
      <c r="Y22" s="39">
        <v>0</v>
      </c>
      <c r="Z22" s="39" t="s">
        <v>41</v>
      </c>
      <c r="AA22" s="39">
        <v>0</v>
      </c>
      <c r="AB22" s="39" t="s">
        <v>274</v>
      </c>
      <c r="AC22" s="37" t="s">
        <v>41</v>
      </c>
      <c r="AD22" s="37" t="s">
        <v>41</v>
      </c>
      <c r="AE22" s="37" t="s">
        <v>41</v>
      </c>
    </row>
    <row r="23" spans="1:31" x14ac:dyDescent="0.3">
      <c r="A23" s="39">
        <v>31303</v>
      </c>
      <c r="B23" s="40" t="s">
        <v>387</v>
      </c>
      <c r="C23" s="41" t="s">
        <v>201</v>
      </c>
      <c r="D23" s="39" t="str">
        <f t="shared" si="10"/>
        <v>STR_ITEM_EQUIP_N_AR_11</v>
      </c>
      <c r="E23" s="39" t="str">
        <f t="shared" si="11"/>
        <v>STR_ITEM_EQUIP_N_AR_11_DESC</v>
      </c>
      <c r="F23" s="39">
        <v>2</v>
      </c>
      <c r="G23" s="39" t="s">
        <v>46</v>
      </c>
      <c r="H23" s="39">
        <v>2</v>
      </c>
      <c r="I23" s="39">
        <v>0</v>
      </c>
      <c r="J23" s="39">
        <v>0</v>
      </c>
      <c r="K23" s="39">
        <v>4</v>
      </c>
      <c r="L23" s="39">
        <v>0</v>
      </c>
      <c r="M23" s="39">
        <v>0</v>
      </c>
      <c r="N23" s="39">
        <v>40</v>
      </c>
      <c r="O23" s="39"/>
      <c r="P23" s="39" t="s">
        <v>44</v>
      </c>
      <c r="Q23" s="39">
        <v>0</v>
      </c>
      <c r="R23" s="39" t="s">
        <v>41</v>
      </c>
      <c r="S23" s="39"/>
      <c r="T23" s="39"/>
      <c r="U23" s="39" t="s">
        <v>41</v>
      </c>
      <c r="V23" s="39" t="s">
        <v>41</v>
      </c>
      <c r="W23" s="39" t="b">
        <v>0</v>
      </c>
      <c r="X23" s="39">
        <v>50000</v>
      </c>
      <c r="Y23" s="39">
        <v>0</v>
      </c>
      <c r="Z23" s="39" t="s">
        <v>41</v>
      </c>
      <c r="AA23" s="39">
        <v>0</v>
      </c>
      <c r="AB23" s="39" t="s">
        <v>277</v>
      </c>
      <c r="AC23" s="37" t="s">
        <v>41</v>
      </c>
      <c r="AD23" s="37" t="s">
        <v>41</v>
      </c>
      <c r="AE23" s="37" t="s">
        <v>41</v>
      </c>
    </row>
    <row r="24" spans="1:31" x14ac:dyDescent="0.3">
      <c r="A24" s="39">
        <v>31304</v>
      </c>
      <c r="B24" s="40" t="s">
        <v>388</v>
      </c>
      <c r="C24" s="41" t="s">
        <v>202</v>
      </c>
      <c r="D24" s="39" t="str">
        <f t="shared" si="10"/>
        <v>STR_ITEM_EQUIP_N_AR_12</v>
      </c>
      <c r="E24" s="39" t="str">
        <f t="shared" si="11"/>
        <v>STR_ITEM_EQUIP_N_AR_12_DESC</v>
      </c>
      <c r="F24" s="39">
        <v>2</v>
      </c>
      <c r="G24" s="39" t="s">
        <v>46</v>
      </c>
      <c r="H24" s="39">
        <v>2</v>
      </c>
      <c r="I24" s="39">
        <v>0</v>
      </c>
      <c r="J24" s="39">
        <v>0</v>
      </c>
      <c r="K24" s="39">
        <v>5</v>
      </c>
      <c r="L24" s="39">
        <v>0</v>
      </c>
      <c r="M24" s="39">
        <v>0</v>
      </c>
      <c r="N24" s="39">
        <v>50</v>
      </c>
      <c r="O24" s="39"/>
      <c r="P24" s="39" t="s">
        <v>44</v>
      </c>
      <c r="Q24" s="39">
        <v>0</v>
      </c>
      <c r="R24" s="39" t="s">
        <v>41</v>
      </c>
      <c r="S24" s="39"/>
      <c r="T24" s="39"/>
      <c r="U24" s="39" t="s">
        <v>41</v>
      </c>
      <c r="V24" s="39" t="s">
        <v>41</v>
      </c>
      <c r="W24" s="39" t="b">
        <v>0</v>
      </c>
      <c r="X24" s="39">
        <v>75000</v>
      </c>
      <c r="Y24" s="39">
        <v>0</v>
      </c>
      <c r="Z24" s="39" t="s">
        <v>41</v>
      </c>
      <c r="AA24" s="39">
        <v>0</v>
      </c>
      <c r="AB24" s="39" t="s">
        <v>278</v>
      </c>
      <c r="AC24" s="37" t="s">
        <v>41</v>
      </c>
      <c r="AD24" s="37" t="s">
        <v>41</v>
      </c>
      <c r="AE24" s="37" t="s">
        <v>41</v>
      </c>
    </row>
    <row r="25" spans="1:31" x14ac:dyDescent="0.3">
      <c r="A25" s="39">
        <v>31305</v>
      </c>
      <c r="B25" s="40" t="s">
        <v>389</v>
      </c>
      <c r="C25" s="41" t="s">
        <v>203</v>
      </c>
      <c r="D25" s="39" t="str">
        <f t="shared" ref="D25:D27" si="12">"STR_"&amp;UPPER(C25)</f>
        <v>STR_ITEM_EQUIP_N_AR_13</v>
      </c>
      <c r="E25" s="39" t="str">
        <f t="shared" ref="E25:E27" si="13">D25&amp;"_DESC"</f>
        <v>STR_ITEM_EQUIP_N_AR_13_DESC</v>
      </c>
      <c r="F25" s="39">
        <v>2</v>
      </c>
      <c r="G25" s="39" t="s">
        <v>46</v>
      </c>
      <c r="H25" s="39">
        <v>2</v>
      </c>
      <c r="I25" s="39">
        <v>0</v>
      </c>
      <c r="J25" s="39">
        <v>0</v>
      </c>
      <c r="K25" s="39">
        <v>5</v>
      </c>
      <c r="L25" s="39">
        <v>0</v>
      </c>
      <c r="M25" s="39">
        <v>0</v>
      </c>
      <c r="N25" s="39">
        <v>50</v>
      </c>
      <c r="O25" s="39"/>
      <c r="P25" s="39" t="s">
        <v>44</v>
      </c>
      <c r="Q25" s="39">
        <v>0</v>
      </c>
      <c r="R25" s="39" t="s">
        <v>157</v>
      </c>
      <c r="S25" s="39" t="s">
        <v>158</v>
      </c>
      <c r="T25" s="39" t="s">
        <v>159</v>
      </c>
      <c r="U25" s="39" t="s">
        <v>160</v>
      </c>
      <c r="V25" s="39" t="s">
        <v>161</v>
      </c>
      <c r="W25" s="39" t="b">
        <v>0</v>
      </c>
      <c r="X25" s="39">
        <v>100000</v>
      </c>
      <c r="Y25" s="39">
        <v>0</v>
      </c>
      <c r="Z25" s="39" t="s">
        <v>41</v>
      </c>
      <c r="AA25" s="39">
        <v>0</v>
      </c>
      <c r="AB25" s="39" t="s">
        <v>279</v>
      </c>
      <c r="AC25" s="37" t="s">
        <v>41</v>
      </c>
      <c r="AD25" s="37" t="s">
        <v>41</v>
      </c>
      <c r="AE25" s="37" t="s">
        <v>41</v>
      </c>
    </row>
    <row r="26" spans="1:31" x14ac:dyDescent="0.3">
      <c r="A26" s="39">
        <v>31306</v>
      </c>
      <c r="B26" s="40" t="s">
        <v>312</v>
      </c>
      <c r="C26" s="41" t="s">
        <v>207</v>
      </c>
      <c r="D26" s="39" t="str">
        <f t="shared" si="12"/>
        <v>STR_ITEM_EQUIP_N_AR_17</v>
      </c>
      <c r="E26" s="39" t="str">
        <f t="shared" si="13"/>
        <v>STR_ITEM_EQUIP_N_AR_17_DESC</v>
      </c>
      <c r="F26" s="39">
        <v>3</v>
      </c>
      <c r="G26" s="39" t="s">
        <v>46</v>
      </c>
      <c r="H26" s="39">
        <v>2</v>
      </c>
      <c r="I26" s="39">
        <v>0</v>
      </c>
      <c r="J26" s="39">
        <v>0</v>
      </c>
      <c r="K26" s="39">
        <v>6</v>
      </c>
      <c r="L26" s="39">
        <v>0</v>
      </c>
      <c r="M26" s="39">
        <v>0</v>
      </c>
      <c r="N26" s="39">
        <v>60</v>
      </c>
      <c r="O26" s="39"/>
      <c r="P26" s="39" t="s">
        <v>44</v>
      </c>
      <c r="Q26" s="39">
        <v>0</v>
      </c>
      <c r="R26" s="39" t="s">
        <v>41</v>
      </c>
      <c r="S26" s="39"/>
      <c r="T26" s="39"/>
      <c r="U26" s="39" t="s">
        <v>41</v>
      </c>
      <c r="V26" s="39" t="s">
        <v>41</v>
      </c>
      <c r="W26" s="39" t="b">
        <v>0</v>
      </c>
      <c r="X26" s="39">
        <v>500000</v>
      </c>
      <c r="Y26" s="39">
        <v>0</v>
      </c>
      <c r="Z26" s="39" t="s">
        <v>41</v>
      </c>
      <c r="AA26" s="39">
        <v>0</v>
      </c>
      <c r="AB26" s="39" t="s">
        <v>282</v>
      </c>
      <c r="AC26" s="37" t="s">
        <v>41</v>
      </c>
      <c r="AD26" s="37" t="s">
        <v>41</v>
      </c>
      <c r="AE26" s="37" t="s">
        <v>41</v>
      </c>
    </row>
    <row r="27" spans="1:31" x14ac:dyDescent="0.3">
      <c r="A27" s="39">
        <v>31307</v>
      </c>
      <c r="B27" s="40" t="s">
        <v>313</v>
      </c>
      <c r="C27" s="41" t="s">
        <v>208</v>
      </c>
      <c r="D27" s="39" t="str">
        <f t="shared" si="12"/>
        <v>STR_ITEM_EQUIP_N_AR_18</v>
      </c>
      <c r="E27" s="39" t="str">
        <f t="shared" si="13"/>
        <v>STR_ITEM_EQUIP_N_AR_18_DESC</v>
      </c>
      <c r="F27" s="39">
        <v>3</v>
      </c>
      <c r="G27" s="39" t="s">
        <v>46</v>
      </c>
      <c r="H27" s="39">
        <v>2</v>
      </c>
      <c r="I27" s="39">
        <v>0</v>
      </c>
      <c r="J27" s="39">
        <v>0</v>
      </c>
      <c r="K27" s="39">
        <v>7</v>
      </c>
      <c r="L27" s="39">
        <v>0</v>
      </c>
      <c r="M27" s="39">
        <v>0</v>
      </c>
      <c r="N27" s="39">
        <v>70</v>
      </c>
      <c r="O27" s="39"/>
      <c r="P27" s="39" t="s">
        <v>44</v>
      </c>
      <c r="Q27" s="39">
        <v>0</v>
      </c>
      <c r="R27" s="39" t="s">
        <v>41</v>
      </c>
      <c r="S27" s="39"/>
      <c r="T27" s="39"/>
      <c r="U27" s="39" t="s">
        <v>41</v>
      </c>
      <c r="V27" s="39" t="s">
        <v>41</v>
      </c>
      <c r="W27" s="39" t="b">
        <v>0</v>
      </c>
      <c r="X27" s="39">
        <v>750000</v>
      </c>
      <c r="Y27" s="39">
        <v>0</v>
      </c>
      <c r="Z27" s="39" t="s">
        <v>41</v>
      </c>
      <c r="AA27" s="39">
        <v>0</v>
      </c>
      <c r="AB27" s="39" t="s">
        <v>283</v>
      </c>
      <c r="AC27" s="37" t="s">
        <v>41</v>
      </c>
      <c r="AD27" s="37" t="s">
        <v>41</v>
      </c>
      <c r="AE27" s="37" t="s">
        <v>41</v>
      </c>
    </row>
    <row r="28" spans="1:31" x14ac:dyDescent="0.3">
      <c r="A28" s="39">
        <v>31308</v>
      </c>
      <c r="B28" s="40" t="s">
        <v>314</v>
      </c>
      <c r="C28" s="41" t="s">
        <v>209</v>
      </c>
      <c r="D28" s="39" t="str">
        <f t="shared" ref="D28:D30" si="14">"STR_"&amp;UPPER(C28)</f>
        <v>STR_ITEM_EQUIP_N_AR_19</v>
      </c>
      <c r="E28" s="39" t="str">
        <f t="shared" ref="E28:E30" si="15">D28&amp;"_DESC"</f>
        <v>STR_ITEM_EQUIP_N_AR_19_DESC</v>
      </c>
      <c r="F28" s="39">
        <v>3</v>
      </c>
      <c r="G28" s="39" t="s">
        <v>46</v>
      </c>
      <c r="H28" s="39">
        <v>2</v>
      </c>
      <c r="I28" s="39">
        <v>0</v>
      </c>
      <c r="J28" s="39">
        <v>0</v>
      </c>
      <c r="K28" s="39">
        <v>7</v>
      </c>
      <c r="L28" s="39">
        <v>0</v>
      </c>
      <c r="M28" s="39">
        <v>0</v>
      </c>
      <c r="N28" s="39">
        <v>70</v>
      </c>
      <c r="O28" s="39"/>
      <c r="P28" s="39" t="s">
        <v>44</v>
      </c>
      <c r="Q28" s="39">
        <v>0</v>
      </c>
      <c r="R28" s="39" t="s">
        <v>157</v>
      </c>
      <c r="S28" s="39" t="s">
        <v>158</v>
      </c>
      <c r="T28" s="39" t="s">
        <v>159</v>
      </c>
      <c r="U28" s="39" t="s">
        <v>160</v>
      </c>
      <c r="V28" s="39" t="s">
        <v>161</v>
      </c>
      <c r="W28" s="39" t="b">
        <v>0</v>
      </c>
      <c r="X28" s="39">
        <v>1000000</v>
      </c>
      <c r="Y28" s="39">
        <v>0</v>
      </c>
      <c r="Z28" s="39" t="s">
        <v>41</v>
      </c>
      <c r="AA28" s="39">
        <v>0</v>
      </c>
      <c r="AB28" s="39" t="s">
        <v>284</v>
      </c>
      <c r="AC28" s="39" t="s">
        <v>41</v>
      </c>
      <c r="AD28" s="39" t="s">
        <v>41</v>
      </c>
      <c r="AE28" s="39" t="s">
        <v>41</v>
      </c>
    </row>
    <row r="29" spans="1:31" x14ac:dyDescent="0.3">
      <c r="A29" s="39">
        <v>31309</v>
      </c>
      <c r="B29" s="40" t="s">
        <v>390</v>
      </c>
      <c r="C29" s="41" t="s">
        <v>213</v>
      </c>
      <c r="D29" s="39" t="str">
        <f t="shared" si="14"/>
        <v>STR_ITEM_EQUIP_N_AR_23</v>
      </c>
      <c r="E29" s="39" t="str">
        <f t="shared" si="15"/>
        <v>STR_ITEM_EQUIP_N_AR_23_DESC</v>
      </c>
      <c r="F29" s="39">
        <v>4</v>
      </c>
      <c r="G29" s="39" t="s">
        <v>46</v>
      </c>
      <c r="H29" s="39">
        <v>2</v>
      </c>
      <c r="I29" s="39">
        <v>0</v>
      </c>
      <c r="J29" s="39">
        <v>0</v>
      </c>
      <c r="K29" s="39">
        <v>8</v>
      </c>
      <c r="L29" s="39">
        <v>0</v>
      </c>
      <c r="M29" s="39">
        <v>0</v>
      </c>
      <c r="N29" s="39">
        <v>80</v>
      </c>
      <c r="O29" s="39"/>
      <c r="P29" s="39" t="s">
        <v>44</v>
      </c>
      <c r="Q29" s="39">
        <v>0</v>
      </c>
      <c r="R29" s="39" t="s">
        <v>41</v>
      </c>
      <c r="S29" s="39"/>
      <c r="T29" s="39"/>
      <c r="U29" s="39" t="s">
        <v>41</v>
      </c>
      <c r="V29" s="39" t="s">
        <v>41</v>
      </c>
      <c r="W29" s="39" t="b">
        <v>0</v>
      </c>
      <c r="X29" s="39">
        <v>5000000</v>
      </c>
      <c r="Y29" s="39">
        <v>0</v>
      </c>
      <c r="Z29" s="39" t="s">
        <v>41</v>
      </c>
      <c r="AA29" s="39">
        <v>0</v>
      </c>
      <c r="AB29" s="39" t="s">
        <v>282</v>
      </c>
      <c r="AC29" s="39" t="s">
        <v>41</v>
      </c>
      <c r="AD29" s="39" t="s">
        <v>41</v>
      </c>
      <c r="AE29" s="39" t="s">
        <v>41</v>
      </c>
    </row>
    <row r="30" spans="1:31" x14ac:dyDescent="0.3">
      <c r="A30" s="39">
        <v>31310</v>
      </c>
      <c r="B30" s="40" t="s">
        <v>391</v>
      </c>
      <c r="C30" s="41" t="s">
        <v>214</v>
      </c>
      <c r="D30" s="39" t="str">
        <f t="shared" si="14"/>
        <v>STR_ITEM_EQUIP_N_AR_24</v>
      </c>
      <c r="E30" s="39" t="str">
        <f t="shared" si="15"/>
        <v>STR_ITEM_EQUIP_N_AR_24_DESC</v>
      </c>
      <c r="F30" s="39">
        <v>4</v>
      </c>
      <c r="G30" s="39" t="s">
        <v>46</v>
      </c>
      <c r="H30" s="39">
        <v>2</v>
      </c>
      <c r="I30" s="39">
        <v>0</v>
      </c>
      <c r="J30" s="39">
        <v>0</v>
      </c>
      <c r="K30" s="39">
        <v>9</v>
      </c>
      <c r="L30" s="39">
        <v>0</v>
      </c>
      <c r="M30" s="39">
        <v>0</v>
      </c>
      <c r="N30" s="39">
        <v>90</v>
      </c>
      <c r="O30" s="39"/>
      <c r="P30" s="39" t="s">
        <v>44</v>
      </c>
      <c r="Q30" s="39">
        <v>0</v>
      </c>
      <c r="R30" s="39" t="s">
        <v>41</v>
      </c>
      <c r="S30" s="39"/>
      <c r="T30" s="39"/>
      <c r="U30" s="39" t="s">
        <v>41</v>
      </c>
      <c r="V30" s="39" t="s">
        <v>41</v>
      </c>
      <c r="W30" s="39" t="b">
        <v>0</v>
      </c>
      <c r="X30" s="39">
        <v>7500000</v>
      </c>
      <c r="Y30" s="39">
        <v>0</v>
      </c>
      <c r="Z30" s="39" t="s">
        <v>41</v>
      </c>
      <c r="AA30" s="39">
        <v>0</v>
      </c>
      <c r="AB30" s="39" t="s">
        <v>283</v>
      </c>
      <c r="AC30" s="39" t="s">
        <v>41</v>
      </c>
      <c r="AD30" s="39" t="s">
        <v>41</v>
      </c>
      <c r="AE30" s="39" t="s">
        <v>41</v>
      </c>
    </row>
    <row r="31" spans="1:31" x14ac:dyDescent="0.3">
      <c r="A31" s="39">
        <v>31311</v>
      </c>
      <c r="B31" s="40" t="s">
        <v>392</v>
      </c>
      <c r="C31" s="41" t="s">
        <v>215</v>
      </c>
      <c r="D31" s="39" t="str">
        <f t="shared" ref="D31" si="16">"STR_"&amp;UPPER(C31)</f>
        <v>STR_ITEM_EQUIP_N_AR_25</v>
      </c>
      <c r="E31" s="39" t="str">
        <f t="shared" ref="E31" si="17">D31&amp;"_DESC"</f>
        <v>STR_ITEM_EQUIP_N_AR_25_DESC</v>
      </c>
      <c r="F31" s="39">
        <v>4</v>
      </c>
      <c r="G31" s="39" t="s">
        <v>46</v>
      </c>
      <c r="H31" s="39">
        <v>2</v>
      </c>
      <c r="I31" s="39">
        <v>0</v>
      </c>
      <c r="J31" s="39">
        <v>0</v>
      </c>
      <c r="K31" s="39">
        <v>9</v>
      </c>
      <c r="L31" s="39">
        <v>0</v>
      </c>
      <c r="M31" s="39">
        <v>0</v>
      </c>
      <c r="N31" s="39">
        <v>90</v>
      </c>
      <c r="O31" s="39"/>
      <c r="P31" s="39" t="s">
        <v>44</v>
      </c>
      <c r="Q31" s="39">
        <v>0</v>
      </c>
      <c r="R31" s="39" t="s">
        <v>157</v>
      </c>
      <c r="S31" s="39" t="s">
        <v>158</v>
      </c>
      <c r="T31" s="39" t="s">
        <v>159</v>
      </c>
      <c r="U31" s="39" t="s">
        <v>160</v>
      </c>
      <c r="V31" s="39" t="s">
        <v>161</v>
      </c>
      <c r="W31" s="39" t="b">
        <v>0</v>
      </c>
      <c r="X31" s="39">
        <v>10000000</v>
      </c>
      <c r="Y31" s="39">
        <v>0</v>
      </c>
      <c r="Z31" s="39" t="s">
        <v>41</v>
      </c>
      <c r="AA31" s="39">
        <v>0</v>
      </c>
      <c r="AB31" s="39" t="s">
        <v>284</v>
      </c>
      <c r="AC31" s="39" t="s">
        <v>41</v>
      </c>
      <c r="AD31" s="39" t="s">
        <v>41</v>
      </c>
      <c r="AE31" s="39" t="s">
        <v>41</v>
      </c>
    </row>
    <row r="32" spans="1:31" x14ac:dyDescent="0.3">
      <c r="A32" s="34">
        <v>32000</v>
      </c>
      <c r="B32" s="35" t="s">
        <v>321</v>
      </c>
      <c r="C32" s="36" t="s">
        <v>406</v>
      </c>
      <c r="D32" s="34" t="str">
        <f t="shared" si="0"/>
        <v>STR_ITEM_EQUIP_N_AC_01</v>
      </c>
      <c r="E32" s="34" t="str">
        <f t="shared" si="1"/>
        <v>STR_ITEM_EQUIP_N_AC_01_DESC</v>
      </c>
      <c r="F32" s="34">
        <v>1</v>
      </c>
      <c r="G32" s="34" t="s">
        <v>46</v>
      </c>
      <c r="H32" s="34">
        <v>0</v>
      </c>
      <c r="I32" s="34">
        <v>0</v>
      </c>
      <c r="J32" s="34">
        <v>0</v>
      </c>
      <c r="K32" s="34">
        <v>0</v>
      </c>
      <c r="L32" s="34">
        <v>10</v>
      </c>
      <c r="M32" s="34">
        <v>0</v>
      </c>
      <c r="N32" s="34">
        <v>0</v>
      </c>
      <c r="P32" s="34" t="s">
        <v>44</v>
      </c>
      <c r="Q32" s="34">
        <v>0</v>
      </c>
      <c r="R32" s="37" t="s">
        <v>41</v>
      </c>
      <c r="U32" s="37" t="s">
        <v>41</v>
      </c>
      <c r="V32" s="37" t="s">
        <v>41</v>
      </c>
      <c r="W32" s="34" t="b">
        <v>0</v>
      </c>
      <c r="X32" s="34">
        <v>10</v>
      </c>
      <c r="Y32" s="34">
        <v>0</v>
      </c>
      <c r="Z32" s="34" t="s">
        <v>41</v>
      </c>
      <c r="AA32" s="37">
        <v>0</v>
      </c>
      <c r="AB32" s="37" t="s">
        <v>124</v>
      </c>
      <c r="AC32" s="37" t="s">
        <v>41</v>
      </c>
      <c r="AD32" s="37" t="s">
        <v>41</v>
      </c>
      <c r="AE32" s="37" t="s">
        <v>41</v>
      </c>
    </row>
    <row r="33" spans="1:31" x14ac:dyDescent="0.3">
      <c r="A33" s="34">
        <v>32001</v>
      </c>
      <c r="B33" s="35" t="s">
        <v>322</v>
      </c>
      <c r="C33" s="36" t="s">
        <v>183</v>
      </c>
      <c r="D33" s="34" t="str">
        <f t="shared" ref="D33:D35" si="18">"STR_"&amp;UPPER(C33)</f>
        <v>STR_ITEM_EQUIP_N_AC_02</v>
      </c>
      <c r="E33" s="34" t="str">
        <f t="shared" ref="E33:E35" si="19">D33&amp;"_DESC"</f>
        <v>STR_ITEM_EQUIP_N_AC_02_DESC</v>
      </c>
      <c r="F33" s="34">
        <v>1</v>
      </c>
      <c r="G33" s="34" t="s">
        <v>46</v>
      </c>
      <c r="H33" s="34">
        <v>0</v>
      </c>
      <c r="I33" s="34">
        <v>0</v>
      </c>
      <c r="J33" s="34">
        <v>0</v>
      </c>
      <c r="K33" s="34">
        <v>0</v>
      </c>
      <c r="L33" s="34">
        <v>15</v>
      </c>
      <c r="M33" s="34">
        <v>0</v>
      </c>
      <c r="N33" s="34">
        <v>0</v>
      </c>
      <c r="P33" s="34" t="s">
        <v>44</v>
      </c>
      <c r="Q33" s="34">
        <v>0</v>
      </c>
      <c r="R33" s="37" t="s">
        <v>41</v>
      </c>
      <c r="U33" s="37" t="s">
        <v>41</v>
      </c>
      <c r="V33" s="37" t="s">
        <v>41</v>
      </c>
      <c r="W33" s="34" t="b">
        <v>0</v>
      </c>
      <c r="X33" s="34">
        <v>6250</v>
      </c>
      <c r="Y33" s="34">
        <v>0</v>
      </c>
      <c r="Z33" s="34" t="s">
        <v>41</v>
      </c>
      <c r="AA33" s="37">
        <v>0</v>
      </c>
      <c r="AB33" s="37" t="s">
        <v>285</v>
      </c>
      <c r="AC33" s="37" t="s">
        <v>41</v>
      </c>
      <c r="AD33" s="37" t="s">
        <v>41</v>
      </c>
      <c r="AE33" s="37" t="s">
        <v>41</v>
      </c>
    </row>
    <row r="34" spans="1:31" x14ac:dyDescent="0.3">
      <c r="A34" s="34">
        <v>32002</v>
      </c>
      <c r="B34" s="35" t="s">
        <v>323</v>
      </c>
      <c r="C34" s="36" t="s">
        <v>184</v>
      </c>
      <c r="D34" s="34" t="str">
        <f t="shared" si="18"/>
        <v>STR_ITEM_EQUIP_N_AC_03</v>
      </c>
      <c r="E34" s="34" t="str">
        <f t="shared" si="19"/>
        <v>STR_ITEM_EQUIP_N_AC_03_DESC</v>
      </c>
      <c r="F34" s="34">
        <v>1</v>
      </c>
      <c r="G34" s="34" t="s">
        <v>46</v>
      </c>
      <c r="H34" s="34">
        <v>0</v>
      </c>
      <c r="I34" s="34">
        <v>0</v>
      </c>
      <c r="J34" s="34">
        <v>0</v>
      </c>
      <c r="K34" s="34">
        <v>0</v>
      </c>
      <c r="L34" s="34">
        <v>20</v>
      </c>
      <c r="M34" s="34">
        <v>0</v>
      </c>
      <c r="N34" s="34">
        <v>0</v>
      </c>
      <c r="P34" s="34" t="s">
        <v>44</v>
      </c>
      <c r="Q34" s="34">
        <v>0</v>
      </c>
      <c r="R34" s="37" t="s">
        <v>41</v>
      </c>
      <c r="U34" s="37" t="s">
        <v>41</v>
      </c>
      <c r="V34" s="37" t="s">
        <v>41</v>
      </c>
      <c r="W34" s="34" t="b">
        <v>0</v>
      </c>
      <c r="X34" s="34">
        <v>9380</v>
      </c>
      <c r="Y34" s="34">
        <v>0</v>
      </c>
      <c r="Z34" s="34" t="s">
        <v>41</v>
      </c>
      <c r="AA34" s="37">
        <v>0</v>
      </c>
      <c r="AB34" s="37" t="s">
        <v>286</v>
      </c>
      <c r="AC34" s="37" t="s">
        <v>41</v>
      </c>
      <c r="AD34" s="37" t="s">
        <v>41</v>
      </c>
      <c r="AE34" s="37" t="s">
        <v>41</v>
      </c>
    </row>
    <row r="35" spans="1:31" x14ac:dyDescent="0.3">
      <c r="A35" s="34">
        <v>32003</v>
      </c>
      <c r="B35" s="35" t="s">
        <v>324</v>
      </c>
      <c r="C35" s="36" t="s">
        <v>185</v>
      </c>
      <c r="D35" s="34" t="str">
        <f t="shared" si="18"/>
        <v>STR_ITEM_EQUIP_N_AC_04</v>
      </c>
      <c r="E35" s="34" t="str">
        <f t="shared" si="19"/>
        <v>STR_ITEM_EQUIP_N_AC_04_DESC</v>
      </c>
      <c r="F35" s="34">
        <v>1</v>
      </c>
      <c r="G35" s="34" t="s">
        <v>46</v>
      </c>
      <c r="H35" s="34">
        <v>0</v>
      </c>
      <c r="I35" s="34">
        <v>0</v>
      </c>
      <c r="J35" s="34">
        <v>0</v>
      </c>
      <c r="K35" s="34">
        <v>0</v>
      </c>
      <c r="L35" s="34">
        <v>22</v>
      </c>
      <c r="M35" s="34">
        <v>0</v>
      </c>
      <c r="N35" s="34">
        <v>0</v>
      </c>
      <c r="P35" s="34" t="s">
        <v>44</v>
      </c>
      <c r="Q35" s="34">
        <v>0</v>
      </c>
      <c r="R35" s="37" t="s">
        <v>157</v>
      </c>
      <c r="S35" s="37" t="s">
        <v>158</v>
      </c>
      <c r="T35" s="37" t="s">
        <v>159</v>
      </c>
      <c r="U35" s="37" t="s">
        <v>160</v>
      </c>
      <c r="V35" s="37" t="s">
        <v>161</v>
      </c>
      <c r="W35" s="34" t="b">
        <v>0</v>
      </c>
      <c r="X35" s="34">
        <v>12500</v>
      </c>
      <c r="Y35" s="34">
        <v>0</v>
      </c>
      <c r="Z35" s="34" t="s">
        <v>41</v>
      </c>
      <c r="AA35" s="37">
        <v>0</v>
      </c>
      <c r="AB35" s="37" t="s">
        <v>287</v>
      </c>
      <c r="AC35" s="37" t="s">
        <v>41</v>
      </c>
      <c r="AD35" s="37" t="s">
        <v>41</v>
      </c>
      <c r="AE35" s="37" t="s">
        <v>41</v>
      </c>
    </row>
    <row r="36" spans="1:31" x14ac:dyDescent="0.3">
      <c r="A36" s="34">
        <v>32004</v>
      </c>
      <c r="B36" s="35" t="s">
        <v>325</v>
      </c>
      <c r="C36" s="36" t="s">
        <v>186</v>
      </c>
      <c r="D36" s="34" t="str">
        <f t="shared" ref="D36:D38" si="20">"STR_"&amp;UPPER(C36)</f>
        <v>STR_ITEM_EQUIP_N_AC_05</v>
      </c>
      <c r="E36" s="34" t="str">
        <f t="shared" ref="E36:E38" si="21">D36&amp;"_DESC"</f>
        <v>STR_ITEM_EQUIP_N_AC_05_DESC</v>
      </c>
      <c r="F36" s="34">
        <v>2</v>
      </c>
      <c r="G36" s="34" t="s">
        <v>46</v>
      </c>
      <c r="H36" s="34">
        <v>0</v>
      </c>
      <c r="I36" s="34">
        <v>0</v>
      </c>
      <c r="J36" s="34">
        <v>0</v>
      </c>
      <c r="K36" s="34">
        <v>0</v>
      </c>
      <c r="L36" s="34">
        <v>25</v>
      </c>
      <c r="M36" s="34">
        <v>0</v>
      </c>
      <c r="N36" s="34">
        <v>0</v>
      </c>
      <c r="P36" s="34" t="s">
        <v>44</v>
      </c>
      <c r="Q36" s="34">
        <v>0</v>
      </c>
      <c r="R36" s="37" t="s">
        <v>41</v>
      </c>
      <c r="U36" s="37" t="s">
        <v>41</v>
      </c>
      <c r="V36" s="37" t="s">
        <v>41</v>
      </c>
      <c r="W36" s="34" t="b">
        <v>0</v>
      </c>
      <c r="X36" s="34">
        <v>62500</v>
      </c>
      <c r="Y36" s="34">
        <v>0</v>
      </c>
      <c r="Z36" s="34" t="s">
        <v>41</v>
      </c>
      <c r="AA36" s="37">
        <v>0</v>
      </c>
      <c r="AB36" s="37" t="s">
        <v>285</v>
      </c>
      <c r="AC36" s="37" t="s">
        <v>41</v>
      </c>
      <c r="AD36" s="37" t="s">
        <v>41</v>
      </c>
      <c r="AE36" s="37" t="s">
        <v>41</v>
      </c>
    </row>
    <row r="37" spans="1:31" x14ac:dyDescent="0.3">
      <c r="A37" s="34">
        <v>32005</v>
      </c>
      <c r="B37" s="35" t="s">
        <v>326</v>
      </c>
      <c r="C37" s="36" t="s">
        <v>187</v>
      </c>
      <c r="D37" s="34" t="str">
        <f t="shared" si="20"/>
        <v>STR_ITEM_EQUIP_N_AC_06</v>
      </c>
      <c r="E37" s="34" t="str">
        <f t="shared" si="21"/>
        <v>STR_ITEM_EQUIP_N_AC_06_DESC</v>
      </c>
      <c r="F37" s="34">
        <v>2</v>
      </c>
      <c r="G37" s="34" t="s">
        <v>46</v>
      </c>
      <c r="H37" s="34">
        <v>0</v>
      </c>
      <c r="I37" s="34">
        <v>0</v>
      </c>
      <c r="J37" s="34">
        <v>0</v>
      </c>
      <c r="K37" s="34">
        <v>0</v>
      </c>
      <c r="L37" s="34">
        <v>30</v>
      </c>
      <c r="M37" s="34">
        <v>0</v>
      </c>
      <c r="N37" s="34">
        <v>0</v>
      </c>
      <c r="P37" s="34" t="s">
        <v>44</v>
      </c>
      <c r="Q37" s="34">
        <v>0</v>
      </c>
      <c r="R37" s="37" t="s">
        <v>41</v>
      </c>
      <c r="U37" s="37" t="s">
        <v>41</v>
      </c>
      <c r="V37" s="37" t="s">
        <v>41</v>
      </c>
      <c r="W37" s="34" t="b">
        <v>0</v>
      </c>
      <c r="X37" s="34">
        <v>93750</v>
      </c>
      <c r="Y37" s="34">
        <v>0</v>
      </c>
      <c r="Z37" s="34" t="s">
        <v>41</v>
      </c>
      <c r="AA37" s="37">
        <v>0</v>
      </c>
      <c r="AB37" s="37" t="s">
        <v>286</v>
      </c>
      <c r="AC37" s="37" t="s">
        <v>41</v>
      </c>
      <c r="AD37" s="37" t="s">
        <v>41</v>
      </c>
      <c r="AE37" s="37" t="s">
        <v>41</v>
      </c>
    </row>
    <row r="38" spans="1:31" x14ac:dyDescent="0.3">
      <c r="A38" s="34">
        <v>32006</v>
      </c>
      <c r="B38" s="35" t="s">
        <v>327</v>
      </c>
      <c r="C38" s="36" t="s">
        <v>216</v>
      </c>
      <c r="D38" s="34" t="str">
        <f t="shared" si="20"/>
        <v>STR_ITEM_EQUIP_N_AC_07</v>
      </c>
      <c r="E38" s="34" t="str">
        <f t="shared" si="21"/>
        <v>STR_ITEM_EQUIP_N_AC_07_DESC</v>
      </c>
      <c r="F38" s="34">
        <v>2</v>
      </c>
      <c r="G38" s="34" t="s">
        <v>46</v>
      </c>
      <c r="H38" s="34">
        <v>0</v>
      </c>
      <c r="I38" s="34">
        <v>0</v>
      </c>
      <c r="J38" s="34">
        <v>0</v>
      </c>
      <c r="K38" s="34">
        <v>0</v>
      </c>
      <c r="L38" s="34">
        <v>32</v>
      </c>
      <c r="M38" s="34">
        <v>0</v>
      </c>
      <c r="N38" s="34">
        <v>0</v>
      </c>
      <c r="P38" s="34" t="s">
        <v>44</v>
      </c>
      <c r="Q38" s="34">
        <v>0</v>
      </c>
      <c r="R38" s="37" t="s">
        <v>157</v>
      </c>
      <c r="S38" s="37" t="s">
        <v>158</v>
      </c>
      <c r="T38" s="37" t="s">
        <v>159</v>
      </c>
      <c r="U38" s="37" t="s">
        <v>160</v>
      </c>
      <c r="V38" s="37" t="s">
        <v>161</v>
      </c>
      <c r="W38" s="34" t="b">
        <v>0</v>
      </c>
      <c r="X38" s="34">
        <v>125000</v>
      </c>
      <c r="Y38" s="34">
        <v>0</v>
      </c>
      <c r="Z38" s="34" t="s">
        <v>41</v>
      </c>
      <c r="AA38" s="37">
        <v>0</v>
      </c>
      <c r="AB38" s="37" t="s">
        <v>287</v>
      </c>
      <c r="AC38" s="37" t="s">
        <v>41</v>
      </c>
      <c r="AD38" s="37" t="s">
        <v>41</v>
      </c>
      <c r="AE38" s="37" t="s">
        <v>41</v>
      </c>
    </row>
    <row r="39" spans="1:31" x14ac:dyDescent="0.3">
      <c r="A39" s="34">
        <v>32007</v>
      </c>
      <c r="B39" s="35" t="s">
        <v>328</v>
      </c>
      <c r="C39" s="36" t="s">
        <v>217</v>
      </c>
      <c r="D39" s="34" t="str">
        <f t="shared" ref="D39:D41" si="22">"STR_"&amp;UPPER(C39)</f>
        <v>STR_ITEM_EQUIP_N_AC_08</v>
      </c>
      <c r="E39" s="34" t="str">
        <f t="shared" ref="E39:E41" si="23">D39&amp;"_DESC"</f>
        <v>STR_ITEM_EQUIP_N_AC_08_DESC</v>
      </c>
      <c r="F39" s="34">
        <v>3</v>
      </c>
      <c r="G39" s="34" t="s">
        <v>46</v>
      </c>
      <c r="H39" s="34">
        <v>0</v>
      </c>
      <c r="I39" s="34">
        <v>0</v>
      </c>
      <c r="J39" s="34">
        <v>0</v>
      </c>
      <c r="K39" s="34">
        <v>0</v>
      </c>
      <c r="L39" s="34">
        <v>35</v>
      </c>
      <c r="M39" s="34">
        <v>0</v>
      </c>
      <c r="N39" s="34">
        <v>0</v>
      </c>
      <c r="P39" s="34" t="s">
        <v>44</v>
      </c>
      <c r="Q39" s="34">
        <v>0</v>
      </c>
      <c r="R39" s="37" t="s">
        <v>41</v>
      </c>
      <c r="U39" s="37" t="s">
        <v>41</v>
      </c>
      <c r="V39" s="37" t="s">
        <v>41</v>
      </c>
      <c r="W39" s="34" t="b">
        <v>0</v>
      </c>
      <c r="X39" s="34">
        <v>625000</v>
      </c>
      <c r="Y39" s="34">
        <v>0</v>
      </c>
      <c r="Z39" s="34" t="s">
        <v>41</v>
      </c>
      <c r="AA39" s="37">
        <v>0</v>
      </c>
      <c r="AB39" s="37" t="s">
        <v>285</v>
      </c>
      <c r="AC39" s="37" t="s">
        <v>41</v>
      </c>
      <c r="AD39" s="37" t="s">
        <v>41</v>
      </c>
      <c r="AE39" s="37" t="s">
        <v>41</v>
      </c>
    </row>
    <row r="40" spans="1:31" x14ac:dyDescent="0.3">
      <c r="A40" s="34">
        <v>32008</v>
      </c>
      <c r="B40" s="35" t="s">
        <v>329</v>
      </c>
      <c r="C40" s="36" t="s">
        <v>218</v>
      </c>
      <c r="D40" s="34" t="str">
        <f t="shared" si="22"/>
        <v>STR_ITEM_EQUIP_N_AC_09</v>
      </c>
      <c r="E40" s="34" t="str">
        <f t="shared" si="23"/>
        <v>STR_ITEM_EQUIP_N_AC_09_DESC</v>
      </c>
      <c r="F40" s="34">
        <v>3</v>
      </c>
      <c r="G40" s="34" t="s">
        <v>46</v>
      </c>
      <c r="H40" s="34">
        <v>0</v>
      </c>
      <c r="I40" s="34">
        <v>0</v>
      </c>
      <c r="J40" s="34">
        <v>0</v>
      </c>
      <c r="K40" s="34">
        <v>0</v>
      </c>
      <c r="L40" s="34">
        <v>40</v>
      </c>
      <c r="M40" s="34">
        <v>0</v>
      </c>
      <c r="N40" s="34">
        <v>0</v>
      </c>
      <c r="P40" s="34" t="s">
        <v>44</v>
      </c>
      <c r="Q40" s="34">
        <v>0</v>
      </c>
      <c r="R40" s="37" t="s">
        <v>41</v>
      </c>
      <c r="U40" s="37" t="s">
        <v>41</v>
      </c>
      <c r="V40" s="37" t="s">
        <v>41</v>
      </c>
      <c r="W40" s="34" t="b">
        <v>0</v>
      </c>
      <c r="X40" s="34">
        <v>937500</v>
      </c>
      <c r="Y40" s="34">
        <v>0</v>
      </c>
      <c r="Z40" s="34" t="s">
        <v>41</v>
      </c>
      <c r="AA40" s="37">
        <v>0</v>
      </c>
      <c r="AB40" s="37" t="s">
        <v>286</v>
      </c>
      <c r="AC40" s="37" t="s">
        <v>41</v>
      </c>
      <c r="AD40" s="37" t="s">
        <v>41</v>
      </c>
      <c r="AE40" s="37" t="s">
        <v>41</v>
      </c>
    </row>
    <row r="41" spans="1:31" x14ac:dyDescent="0.3">
      <c r="A41" s="34">
        <v>32009</v>
      </c>
      <c r="B41" s="35" t="s">
        <v>330</v>
      </c>
      <c r="C41" s="36" t="s">
        <v>219</v>
      </c>
      <c r="D41" s="34" t="str">
        <f t="shared" si="22"/>
        <v>STR_ITEM_EQUIP_N_AC_10</v>
      </c>
      <c r="E41" s="34" t="str">
        <f t="shared" si="23"/>
        <v>STR_ITEM_EQUIP_N_AC_10_DESC</v>
      </c>
      <c r="F41" s="34">
        <v>3</v>
      </c>
      <c r="G41" s="34" t="s">
        <v>46</v>
      </c>
      <c r="H41" s="34">
        <v>0</v>
      </c>
      <c r="I41" s="34">
        <v>0</v>
      </c>
      <c r="J41" s="34">
        <v>0</v>
      </c>
      <c r="K41" s="34">
        <v>0</v>
      </c>
      <c r="L41" s="34">
        <v>42</v>
      </c>
      <c r="M41" s="34">
        <v>0</v>
      </c>
      <c r="N41" s="34">
        <v>0</v>
      </c>
      <c r="P41" s="34" t="s">
        <v>44</v>
      </c>
      <c r="Q41" s="34">
        <v>0</v>
      </c>
      <c r="R41" s="37" t="s">
        <v>157</v>
      </c>
      <c r="S41" s="37" t="s">
        <v>158</v>
      </c>
      <c r="T41" s="37" t="s">
        <v>159</v>
      </c>
      <c r="U41" s="37" t="s">
        <v>160</v>
      </c>
      <c r="V41" s="37" t="s">
        <v>161</v>
      </c>
      <c r="W41" s="34" t="b">
        <v>0</v>
      </c>
      <c r="X41" s="34">
        <v>1250000</v>
      </c>
      <c r="Y41" s="34">
        <v>0</v>
      </c>
      <c r="Z41" s="34" t="s">
        <v>41</v>
      </c>
      <c r="AA41" s="37">
        <v>0</v>
      </c>
      <c r="AB41" s="37" t="s">
        <v>287</v>
      </c>
      <c r="AC41" s="37" t="s">
        <v>41</v>
      </c>
      <c r="AD41" s="37" t="s">
        <v>41</v>
      </c>
      <c r="AE41" s="37" t="s">
        <v>41</v>
      </c>
    </row>
    <row r="42" spans="1:31" x14ac:dyDescent="0.3">
      <c r="A42" s="34">
        <v>32010</v>
      </c>
      <c r="B42" s="35" t="s">
        <v>331</v>
      </c>
      <c r="C42" s="36" t="s">
        <v>220</v>
      </c>
      <c r="D42" s="34" t="str">
        <f t="shared" ref="D42:D48" si="24">"STR_"&amp;UPPER(C42)</f>
        <v>STR_ITEM_EQUIP_N_AC_11</v>
      </c>
      <c r="E42" s="34" t="str">
        <f t="shared" ref="E42:E48" si="25">D42&amp;"_DESC"</f>
        <v>STR_ITEM_EQUIP_N_AC_11_DESC</v>
      </c>
      <c r="F42" s="34">
        <v>4</v>
      </c>
      <c r="G42" s="34" t="s">
        <v>46</v>
      </c>
      <c r="H42" s="34">
        <v>0</v>
      </c>
      <c r="I42" s="34">
        <v>0</v>
      </c>
      <c r="J42" s="34">
        <v>0</v>
      </c>
      <c r="K42" s="34">
        <v>0</v>
      </c>
      <c r="L42" s="34">
        <v>45</v>
      </c>
      <c r="M42" s="34">
        <v>0</v>
      </c>
      <c r="N42" s="34">
        <v>0</v>
      </c>
      <c r="P42" s="34" t="s">
        <v>44</v>
      </c>
      <c r="Q42" s="34">
        <v>0</v>
      </c>
      <c r="R42" s="37" t="s">
        <v>41</v>
      </c>
      <c r="U42" s="37" t="s">
        <v>41</v>
      </c>
      <c r="V42" s="37" t="s">
        <v>41</v>
      </c>
      <c r="W42" s="34" t="b">
        <v>0</v>
      </c>
      <c r="X42" s="34">
        <v>6250000</v>
      </c>
      <c r="Y42" s="34">
        <v>0</v>
      </c>
      <c r="Z42" s="34" t="s">
        <v>41</v>
      </c>
      <c r="AA42" s="37">
        <v>0</v>
      </c>
      <c r="AB42" s="37" t="s">
        <v>285</v>
      </c>
      <c r="AC42" s="37" t="s">
        <v>41</v>
      </c>
      <c r="AD42" s="37" t="s">
        <v>41</v>
      </c>
      <c r="AE42" s="37" t="s">
        <v>41</v>
      </c>
    </row>
    <row r="43" spans="1:31" x14ac:dyDescent="0.3">
      <c r="A43" s="34">
        <v>32011</v>
      </c>
      <c r="B43" s="35" t="s">
        <v>332</v>
      </c>
      <c r="C43" s="36" t="s">
        <v>221</v>
      </c>
      <c r="D43" s="34" t="str">
        <f t="shared" si="24"/>
        <v>STR_ITEM_EQUIP_N_AC_12</v>
      </c>
      <c r="E43" s="34" t="str">
        <f t="shared" si="25"/>
        <v>STR_ITEM_EQUIP_N_AC_12_DESC</v>
      </c>
      <c r="F43" s="34">
        <v>4</v>
      </c>
      <c r="G43" s="34" t="s">
        <v>46</v>
      </c>
      <c r="H43" s="34">
        <v>0</v>
      </c>
      <c r="I43" s="34">
        <v>0</v>
      </c>
      <c r="J43" s="34">
        <v>0</v>
      </c>
      <c r="K43" s="34">
        <v>0</v>
      </c>
      <c r="L43" s="34">
        <v>50</v>
      </c>
      <c r="M43" s="34">
        <v>0</v>
      </c>
      <c r="N43" s="34">
        <v>0</v>
      </c>
      <c r="P43" s="34" t="s">
        <v>44</v>
      </c>
      <c r="Q43" s="34">
        <v>0</v>
      </c>
      <c r="R43" s="37" t="s">
        <v>41</v>
      </c>
      <c r="U43" s="37" t="s">
        <v>41</v>
      </c>
      <c r="V43" s="37" t="s">
        <v>41</v>
      </c>
      <c r="W43" s="34" t="b">
        <v>0</v>
      </c>
      <c r="X43" s="34">
        <v>9375000</v>
      </c>
      <c r="Y43" s="34">
        <v>0</v>
      </c>
      <c r="Z43" s="34" t="s">
        <v>41</v>
      </c>
      <c r="AA43" s="37">
        <v>0</v>
      </c>
      <c r="AB43" s="37" t="s">
        <v>286</v>
      </c>
      <c r="AC43" s="37" t="s">
        <v>41</v>
      </c>
      <c r="AD43" s="37" t="s">
        <v>41</v>
      </c>
      <c r="AE43" s="37" t="s">
        <v>41</v>
      </c>
    </row>
    <row r="44" spans="1:31" x14ac:dyDescent="0.3">
      <c r="A44" s="34">
        <v>32012</v>
      </c>
      <c r="B44" s="35" t="s">
        <v>333</v>
      </c>
      <c r="C44" s="36" t="s">
        <v>222</v>
      </c>
      <c r="D44" s="34" t="str">
        <f t="shared" si="24"/>
        <v>STR_ITEM_EQUIP_N_AC_13</v>
      </c>
      <c r="E44" s="34" t="str">
        <f t="shared" si="25"/>
        <v>STR_ITEM_EQUIP_N_AC_13_DESC</v>
      </c>
      <c r="F44" s="34">
        <v>4</v>
      </c>
      <c r="G44" s="34" t="s">
        <v>46</v>
      </c>
      <c r="H44" s="34">
        <v>0</v>
      </c>
      <c r="I44" s="34">
        <v>0</v>
      </c>
      <c r="J44" s="34">
        <v>0</v>
      </c>
      <c r="K44" s="34">
        <v>0</v>
      </c>
      <c r="L44" s="34">
        <v>52</v>
      </c>
      <c r="M44" s="34">
        <v>0</v>
      </c>
      <c r="N44" s="34">
        <v>0</v>
      </c>
      <c r="P44" s="34" t="s">
        <v>44</v>
      </c>
      <c r="Q44" s="34">
        <v>0</v>
      </c>
      <c r="R44" s="37" t="s">
        <v>157</v>
      </c>
      <c r="S44" s="37" t="s">
        <v>158</v>
      </c>
      <c r="T44" s="37" t="s">
        <v>159</v>
      </c>
      <c r="U44" s="37" t="s">
        <v>160</v>
      </c>
      <c r="V44" s="37" t="s">
        <v>161</v>
      </c>
      <c r="W44" s="34" t="b">
        <v>0</v>
      </c>
      <c r="X44" s="34">
        <v>12500000</v>
      </c>
      <c r="Y44" s="34">
        <v>0</v>
      </c>
      <c r="Z44" s="34" t="s">
        <v>41</v>
      </c>
      <c r="AA44" s="37">
        <v>0</v>
      </c>
      <c r="AB44" s="37" t="s">
        <v>287</v>
      </c>
      <c r="AC44" s="37" t="s">
        <v>41</v>
      </c>
      <c r="AD44" s="37" t="s">
        <v>41</v>
      </c>
      <c r="AE44" s="37" t="s">
        <v>41</v>
      </c>
    </row>
    <row r="45" spans="1:31" x14ac:dyDescent="0.3">
      <c r="A45" s="34">
        <v>32013</v>
      </c>
      <c r="B45" s="35" t="s">
        <v>450</v>
      </c>
      <c r="C45" s="36" t="s">
        <v>451</v>
      </c>
      <c r="D45" s="34" t="str">
        <f t="shared" si="24"/>
        <v>STR_ITEM_EQUIP_R_AC_01</v>
      </c>
      <c r="E45" s="34" t="str">
        <f t="shared" si="25"/>
        <v>STR_ITEM_EQUIP_R_AC_01_DESC</v>
      </c>
      <c r="F45" s="34">
        <v>4</v>
      </c>
      <c r="G45" s="34" t="s">
        <v>46</v>
      </c>
      <c r="H45" s="34">
        <v>0</v>
      </c>
      <c r="I45" s="34">
        <v>3</v>
      </c>
      <c r="J45" s="34">
        <v>0</v>
      </c>
      <c r="K45" s="34">
        <v>0</v>
      </c>
      <c r="L45" s="34">
        <v>50</v>
      </c>
      <c r="M45" s="34">
        <v>0</v>
      </c>
      <c r="N45" s="34">
        <v>0</v>
      </c>
      <c r="P45" s="34" t="s">
        <v>44</v>
      </c>
      <c r="Q45" s="34">
        <v>0</v>
      </c>
      <c r="R45" s="37" t="s">
        <v>157</v>
      </c>
      <c r="S45" s="37" t="s">
        <v>158</v>
      </c>
      <c r="T45" s="37" t="s">
        <v>159</v>
      </c>
      <c r="U45" s="37" t="s">
        <v>160</v>
      </c>
      <c r="V45" s="37" t="s">
        <v>161</v>
      </c>
      <c r="W45" s="34" t="b">
        <v>0</v>
      </c>
      <c r="X45" s="34">
        <v>10</v>
      </c>
      <c r="Y45" s="34">
        <v>50</v>
      </c>
      <c r="Z45" s="34" t="s">
        <v>41</v>
      </c>
      <c r="AA45" s="37">
        <v>0</v>
      </c>
      <c r="AB45" s="37" t="s">
        <v>287</v>
      </c>
      <c r="AC45" s="37" t="s">
        <v>41</v>
      </c>
      <c r="AD45" s="37" t="s">
        <v>41</v>
      </c>
      <c r="AE45" s="37" t="s">
        <v>41</v>
      </c>
    </row>
    <row r="46" spans="1:31" x14ac:dyDescent="0.3">
      <c r="A46" s="34">
        <v>32014</v>
      </c>
      <c r="B46" s="35" t="s">
        <v>450</v>
      </c>
      <c r="C46" s="36" t="s">
        <v>452</v>
      </c>
      <c r="D46" s="34" t="str">
        <f t="shared" ref="D46" si="26">"STR_"&amp;UPPER(C46)</f>
        <v>STR_ITEM_EQUIP_R_AC_02</v>
      </c>
      <c r="E46" s="34" t="str">
        <f t="shared" ref="E46" si="27">D46&amp;"_DESC"</f>
        <v>STR_ITEM_EQUIP_R_AC_02_DESC</v>
      </c>
      <c r="F46" s="34">
        <v>4</v>
      </c>
      <c r="G46" s="34" t="s">
        <v>46</v>
      </c>
      <c r="H46" s="34">
        <v>0</v>
      </c>
      <c r="I46" s="34">
        <v>0</v>
      </c>
      <c r="J46" s="34">
        <v>3</v>
      </c>
      <c r="K46" s="34">
        <v>0</v>
      </c>
      <c r="L46" s="34">
        <v>50</v>
      </c>
      <c r="M46" s="34">
        <v>0</v>
      </c>
      <c r="N46" s="34">
        <v>0</v>
      </c>
      <c r="P46" s="34" t="s">
        <v>44</v>
      </c>
      <c r="Q46" s="34">
        <v>0</v>
      </c>
      <c r="R46" s="37" t="s">
        <v>157</v>
      </c>
      <c r="S46" s="37" t="s">
        <v>158</v>
      </c>
      <c r="T46" s="37" t="s">
        <v>159</v>
      </c>
      <c r="U46" s="37" t="s">
        <v>160</v>
      </c>
      <c r="V46" s="37" t="s">
        <v>161</v>
      </c>
      <c r="W46" s="34" t="b">
        <v>0</v>
      </c>
      <c r="X46" s="34">
        <v>10</v>
      </c>
      <c r="Y46" s="34">
        <v>50</v>
      </c>
      <c r="Z46" s="34" t="s">
        <v>41</v>
      </c>
      <c r="AA46" s="37">
        <v>0</v>
      </c>
      <c r="AB46" s="37" t="s">
        <v>287</v>
      </c>
      <c r="AC46" s="37" t="s">
        <v>41</v>
      </c>
      <c r="AD46" s="37" t="s">
        <v>41</v>
      </c>
      <c r="AE46" s="37" t="s">
        <v>41</v>
      </c>
    </row>
    <row r="47" spans="1:31" x14ac:dyDescent="0.3">
      <c r="A47" s="34">
        <v>32015</v>
      </c>
      <c r="B47" s="35" t="s">
        <v>450</v>
      </c>
      <c r="C47" s="36" t="s">
        <v>453</v>
      </c>
      <c r="D47" s="34" t="str">
        <f t="shared" ref="D47" si="28">"STR_"&amp;UPPER(C47)</f>
        <v>STR_ITEM_EQUIP_R_AC_03</v>
      </c>
      <c r="E47" s="34" t="str">
        <f t="shared" ref="E47" si="29">D47&amp;"_DESC"</f>
        <v>STR_ITEM_EQUIP_R_AC_03_DESC</v>
      </c>
      <c r="F47" s="34">
        <v>4</v>
      </c>
      <c r="G47" s="34" t="s">
        <v>46</v>
      </c>
      <c r="H47" s="34">
        <v>0</v>
      </c>
      <c r="I47" s="34">
        <v>0</v>
      </c>
      <c r="J47" s="34">
        <v>0</v>
      </c>
      <c r="K47" s="34">
        <v>3</v>
      </c>
      <c r="L47" s="34">
        <v>50</v>
      </c>
      <c r="M47" s="34">
        <v>0</v>
      </c>
      <c r="N47" s="34">
        <v>0</v>
      </c>
      <c r="P47" s="34" t="s">
        <v>44</v>
      </c>
      <c r="Q47" s="34">
        <v>0</v>
      </c>
      <c r="R47" s="37" t="s">
        <v>157</v>
      </c>
      <c r="S47" s="37" t="s">
        <v>158</v>
      </c>
      <c r="T47" s="37" t="s">
        <v>159</v>
      </c>
      <c r="U47" s="37" t="s">
        <v>160</v>
      </c>
      <c r="V47" s="37" t="s">
        <v>161</v>
      </c>
      <c r="W47" s="34" t="b">
        <v>0</v>
      </c>
      <c r="X47" s="34">
        <v>10</v>
      </c>
      <c r="Y47" s="34">
        <v>50</v>
      </c>
      <c r="Z47" s="34" t="s">
        <v>41</v>
      </c>
      <c r="AA47" s="37">
        <v>0</v>
      </c>
      <c r="AB47" s="37" t="s">
        <v>287</v>
      </c>
      <c r="AC47" s="37" t="s">
        <v>41</v>
      </c>
      <c r="AD47" s="37" t="s">
        <v>41</v>
      </c>
      <c r="AE47" s="37" t="s">
        <v>41</v>
      </c>
    </row>
    <row r="48" spans="1:31" x14ac:dyDescent="0.3">
      <c r="A48" s="34">
        <v>32016</v>
      </c>
      <c r="B48" s="35" t="s">
        <v>450</v>
      </c>
      <c r="C48" s="36" t="s">
        <v>454</v>
      </c>
      <c r="D48" s="34" t="str">
        <f t="shared" si="24"/>
        <v>STR_ITEM_EQUIP_R_AC_04</v>
      </c>
      <c r="E48" s="34" t="str">
        <f t="shared" si="25"/>
        <v>STR_ITEM_EQUIP_R_AC_04_DESC</v>
      </c>
      <c r="F48" s="34">
        <v>4</v>
      </c>
      <c r="G48" s="34" t="s">
        <v>46</v>
      </c>
      <c r="H48" s="34">
        <v>0</v>
      </c>
      <c r="I48" s="34">
        <v>0</v>
      </c>
      <c r="J48" s="34">
        <v>0</v>
      </c>
      <c r="K48" s="34">
        <v>0</v>
      </c>
      <c r="L48" s="34">
        <v>50</v>
      </c>
      <c r="M48" s="34">
        <v>3</v>
      </c>
      <c r="N48" s="34">
        <v>0</v>
      </c>
      <c r="P48" s="34" t="s">
        <v>44</v>
      </c>
      <c r="Q48" s="34">
        <v>0</v>
      </c>
      <c r="R48" s="37" t="s">
        <v>157</v>
      </c>
      <c r="S48" s="37" t="s">
        <v>158</v>
      </c>
      <c r="T48" s="37" t="s">
        <v>159</v>
      </c>
      <c r="U48" s="37" t="s">
        <v>160</v>
      </c>
      <c r="V48" s="37" t="s">
        <v>161</v>
      </c>
      <c r="W48" s="34" t="b">
        <v>0</v>
      </c>
      <c r="X48" s="34">
        <v>10</v>
      </c>
      <c r="Y48" s="34">
        <v>50</v>
      </c>
      <c r="Z48" s="34" t="s">
        <v>41</v>
      </c>
      <c r="AA48" s="37">
        <v>0</v>
      </c>
      <c r="AB48" s="37" t="s">
        <v>287</v>
      </c>
      <c r="AC48" s="37" t="s">
        <v>41</v>
      </c>
      <c r="AD48" s="37" t="s">
        <v>41</v>
      </c>
      <c r="AE48" s="37" t="s">
        <v>41</v>
      </c>
    </row>
    <row r="49" spans="1:31" x14ac:dyDescent="0.3">
      <c r="A49" s="34">
        <v>32017</v>
      </c>
      <c r="B49" s="35" t="s">
        <v>450</v>
      </c>
      <c r="C49" s="36" t="s">
        <v>455</v>
      </c>
      <c r="D49" s="34" t="str">
        <f t="shared" ref="D49" si="30">"STR_"&amp;UPPER(C49)</f>
        <v>STR_ITEM_EQUIP_R_AC_05</v>
      </c>
      <c r="E49" s="34" t="str">
        <f t="shared" ref="E49" si="31">D49&amp;"_DESC"</f>
        <v>STR_ITEM_EQUIP_R_AC_05_DESC</v>
      </c>
      <c r="F49" s="34">
        <v>4</v>
      </c>
      <c r="G49" s="34" t="s">
        <v>46</v>
      </c>
      <c r="H49" s="34">
        <v>0</v>
      </c>
      <c r="I49" s="34">
        <v>0</v>
      </c>
      <c r="J49" s="34">
        <v>0</v>
      </c>
      <c r="K49" s="34">
        <v>0</v>
      </c>
      <c r="L49" s="34">
        <v>50</v>
      </c>
      <c r="M49" s="34">
        <v>0</v>
      </c>
      <c r="N49" s="34">
        <v>15</v>
      </c>
      <c r="P49" s="34" t="s">
        <v>44</v>
      </c>
      <c r="Q49" s="34">
        <v>0</v>
      </c>
      <c r="R49" s="37" t="s">
        <v>157</v>
      </c>
      <c r="S49" s="37" t="s">
        <v>158</v>
      </c>
      <c r="T49" s="37" t="s">
        <v>159</v>
      </c>
      <c r="U49" s="37" t="s">
        <v>160</v>
      </c>
      <c r="V49" s="37" t="s">
        <v>161</v>
      </c>
      <c r="W49" s="34" t="b">
        <v>0</v>
      </c>
      <c r="X49" s="34">
        <v>10</v>
      </c>
      <c r="Y49" s="34">
        <v>50</v>
      </c>
      <c r="Z49" s="34" t="s">
        <v>41</v>
      </c>
      <c r="AA49" s="37">
        <v>0</v>
      </c>
      <c r="AB49" s="37" t="s">
        <v>287</v>
      </c>
      <c r="AC49" s="37" t="s">
        <v>41</v>
      </c>
      <c r="AD49" s="37" t="s">
        <v>41</v>
      </c>
      <c r="AE49" s="37" t="s">
        <v>41</v>
      </c>
    </row>
    <row r="50" spans="1:31" x14ac:dyDescent="0.3">
      <c r="A50" s="39">
        <v>33000</v>
      </c>
      <c r="B50" s="40" t="s">
        <v>334</v>
      </c>
      <c r="C50" s="41" t="s">
        <v>407</v>
      </c>
      <c r="D50" s="39" t="str">
        <f t="shared" si="0"/>
        <v>STR_ITEM_EQUIP_N_BO_01</v>
      </c>
      <c r="E50" s="39" t="str">
        <f t="shared" si="1"/>
        <v>STR_ITEM_EQUIP_N_BO_01_DESC</v>
      </c>
      <c r="F50" s="39">
        <v>1</v>
      </c>
      <c r="G50" s="39" t="s">
        <v>46</v>
      </c>
      <c r="H50" s="39">
        <v>3</v>
      </c>
      <c r="I50" s="39">
        <v>0</v>
      </c>
      <c r="J50" s="39">
        <v>0</v>
      </c>
      <c r="K50" s="39">
        <v>1</v>
      </c>
      <c r="L50" s="39">
        <v>0</v>
      </c>
      <c r="M50" s="39">
        <v>5</v>
      </c>
      <c r="N50" s="39">
        <v>0</v>
      </c>
      <c r="O50" s="39"/>
      <c r="P50" s="39" t="s">
        <v>44</v>
      </c>
      <c r="Q50" s="39">
        <v>0</v>
      </c>
      <c r="R50" s="39" t="s">
        <v>41</v>
      </c>
      <c r="S50" s="39"/>
      <c r="T50" s="39"/>
      <c r="U50" s="39" t="s">
        <v>41</v>
      </c>
      <c r="V50" s="39" t="s">
        <v>41</v>
      </c>
      <c r="W50" s="39" t="b">
        <v>0</v>
      </c>
      <c r="X50" s="39">
        <v>10</v>
      </c>
      <c r="Y50" s="39">
        <v>0</v>
      </c>
      <c r="Z50" s="39" t="s">
        <v>41</v>
      </c>
      <c r="AA50" s="39">
        <v>0</v>
      </c>
      <c r="AB50" s="39" t="s">
        <v>123</v>
      </c>
      <c r="AC50" s="39" t="s">
        <v>41</v>
      </c>
      <c r="AD50" s="39" t="s">
        <v>41</v>
      </c>
      <c r="AE50" s="39" t="s">
        <v>41</v>
      </c>
    </row>
    <row r="51" spans="1:31" x14ac:dyDescent="0.3">
      <c r="A51" s="39">
        <v>33001</v>
      </c>
      <c r="B51" s="40" t="s">
        <v>336</v>
      </c>
      <c r="C51" s="41" t="s">
        <v>188</v>
      </c>
      <c r="D51" s="39" t="str">
        <f t="shared" si="0"/>
        <v>STR_ITEM_EQUIP_N_BO_02</v>
      </c>
      <c r="E51" s="39" t="str">
        <f t="shared" si="1"/>
        <v>STR_ITEM_EQUIP_N_BO_02_DESC</v>
      </c>
      <c r="F51" s="39">
        <v>1</v>
      </c>
      <c r="G51" s="39" t="s">
        <v>46</v>
      </c>
      <c r="H51" s="39">
        <v>3</v>
      </c>
      <c r="I51" s="39">
        <v>0</v>
      </c>
      <c r="J51" s="39">
        <v>0</v>
      </c>
      <c r="K51" s="39">
        <v>1</v>
      </c>
      <c r="L51" s="39">
        <v>0</v>
      </c>
      <c r="M51" s="39">
        <v>10</v>
      </c>
      <c r="N51" s="39">
        <v>0</v>
      </c>
      <c r="O51" s="39"/>
      <c r="P51" s="39" t="s">
        <v>44</v>
      </c>
      <c r="Q51" s="39">
        <v>0</v>
      </c>
      <c r="R51" s="39" t="s">
        <v>41</v>
      </c>
      <c r="S51" s="39"/>
      <c r="T51" s="39"/>
      <c r="U51" s="39" t="s">
        <v>41</v>
      </c>
      <c r="V51" s="39" t="s">
        <v>41</v>
      </c>
      <c r="W51" s="39" t="b">
        <v>0</v>
      </c>
      <c r="X51" s="39">
        <v>3750</v>
      </c>
      <c r="Y51" s="39">
        <v>0</v>
      </c>
      <c r="Z51" s="39" t="s">
        <v>41</v>
      </c>
      <c r="AA51" s="39">
        <v>0</v>
      </c>
      <c r="AB51" s="39" t="s">
        <v>288</v>
      </c>
      <c r="AC51" s="39" t="s">
        <v>41</v>
      </c>
      <c r="AD51" s="39" t="s">
        <v>41</v>
      </c>
      <c r="AE51" s="39" t="s">
        <v>41</v>
      </c>
    </row>
    <row r="52" spans="1:31" x14ac:dyDescent="0.3">
      <c r="A52" s="39">
        <v>33002</v>
      </c>
      <c r="B52" s="40" t="s">
        <v>375</v>
      </c>
      <c r="C52" s="41" t="s">
        <v>189</v>
      </c>
      <c r="D52" s="39" t="str">
        <f t="shared" si="0"/>
        <v>STR_ITEM_EQUIP_N_BO_03</v>
      </c>
      <c r="E52" s="39" t="str">
        <f t="shared" si="1"/>
        <v>STR_ITEM_EQUIP_N_BO_03_DESC</v>
      </c>
      <c r="F52" s="39">
        <v>1</v>
      </c>
      <c r="G52" s="39" t="s">
        <v>46</v>
      </c>
      <c r="H52" s="39">
        <v>3</v>
      </c>
      <c r="I52" s="39">
        <v>0</v>
      </c>
      <c r="J52" s="39">
        <v>0</v>
      </c>
      <c r="K52" s="39">
        <v>1</v>
      </c>
      <c r="L52" s="39">
        <v>0</v>
      </c>
      <c r="M52" s="39">
        <v>12</v>
      </c>
      <c r="N52" s="39">
        <v>0</v>
      </c>
      <c r="O52" s="39"/>
      <c r="P52" s="39" t="s">
        <v>44</v>
      </c>
      <c r="Q52" s="39">
        <v>0</v>
      </c>
      <c r="R52" s="39" t="s">
        <v>41</v>
      </c>
      <c r="S52" s="39"/>
      <c r="T52" s="39"/>
      <c r="U52" s="39" t="s">
        <v>41</v>
      </c>
      <c r="V52" s="39" t="s">
        <v>41</v>
      </c>
      <c r="W52" s="39" t="b">
        <v>0</v>
      </c>
      <c r="X52" s="39">
        <v>5630</v>
      </c>
      <c r="Y52" s="39">
        <v>0</v>
      </c>
      <c r="Z52" s="39" t="s">
        <v>41</v>
      </c>
      <c r="AA52" s="39">
        <v>0</v>
      </c>
      <c r="AB52" s="39" t="s">
        <v>289</v>
      </c>
      <c r="AC52" s="39" t="s">
        <v>41</v>
      </c>
      <c r="AD52" s="39" t="s">
        <v>41</v>
      </c>
      <c r="AE52" s="39" t="s">
        <v>41</v>
      </c>
    </row>
    <row r="53" spans="1:31" x14ac:dyDescent="0.3">
      <c r="A53" s="39">
        <v>33003</v>
      </c>
      <c r="B53" s="40" t="s">
        <v>376</v>
      </c>
      <c r="C53" s="41" t="s">
        <v>190</v>
      </c>
      <c r="D53" s="39" t="str">
        <f t="shared" si="0"/>
        <v>STR_ITEM_EQUIP_N_BO_04</v>
      </c>
      <c r="E53" s="39" t="str">
        <f t="shared" si="1"/>
        <v>STR_ITEM_EQUIP_N_BO_04_DESC</v>
      </c>
      <c r="F53" s="39">
        <v>1</v>
      </c>
      <c r="G53" s="39" t="s">
        <v>46</v>
      </c>
      <c r="H53" s="39">
        <v>3</v>
      </c>
      <c r="I53" s="39">
        <v>0</v>
      </c>
      <c r="J53" s="39">
        <v>0</v>
      </c>
      <c r="K53" s="39">
        <v>1</v>
      </c>
      <c r="L53" s="39">
        <v>0</v>
      </c>
      <c r="M53" s="39">
        <v>13</v>
      </c>
      <c r="N53" s="39">
        <v>0</v>
      </c>
      <c r="O53" s="39"/>
      <c r="P53" s="39" t="s">
        <v>44</v>
      </c>
      <c r="Q53" s="39">
        <v>0</v>
      </c>
      <c r="R53" s="39" t="s">
        <v>157</v>
      </c>
      <c r="S53" s="39" t="s">
        <v>158</v>
      </c>
      <c r="T53" s="39" t="s">
        <v>159</v>
      </c>
      <c r="U53" s="39" t="s">
        <v>160</v>
      </c>
      <c r="V53" s="39" t="s">
        <v>161</v>
      </c>
      <c r="W53" s="39" t="b">
        <v>0</v>
      </c>
      <c r="X53" s="39">
        <v>7500</v>
      </c>
      <c r="Y53" s="39">
        <v>0</v>
      </c>
      <c r="Z53" s="39" t="s">
        <v>41</v>
      </c>
      <c r="AA53" s="39">
        <v>0</v>
      </c>
      <c r="AB53" s="39" t="s">
        <v>290</v>
      </c>
      <c r="AC53" s="39" t="s">
        <v>41</v>
      </c>
      <c r="AD53" s="39" t="s">
        <v>41</v>
      </c>
      <c r="AE53" s="39" t="s">
        <v>41</v>
      </c>
    </row>
    <row r="54" spans="1:31" x14ac:dyDescent="0.3">
      <c r="A54" s="39">
        <v>33004</v>
      </c>
      <c r="B54" s="40" t="s">
        <v>335</v>
      </c>
      <c r="C54" s="41" t="s">
        <v>229</v>
      </c>
      <c r="D54" s="39" t="str">
        <f t="shared" ref="D54:D57" si="32">"STR_"&amp;UPPER(C54)</f>
        <v>STR_ITEM_EQUIP_N_BO_05</v>
      </c>
      <c r="E54" s="39" t="str">
        <f t="shared" ref="E54:E57" si="33">D54&amp;"_DESC"</f>
        <v>STR_ITEM_EQUIP_N_BO_05_DESC</v>
      </c>
      <c r="F54" s="39">
        <v>2</v>
      </c>
      <c r="G54" s="39" t="s">
        <v>46</v>
      </c>
      <c r="H54" s="39">
        <v>3</v>
      </c>
      <c r="I54" s="39">
        <v>0</v>
      </c>
      <c r="J54" s="39">
        <v>0</v>
      </c>
      <c r="K54" s="39">
        <v>3</v>
      </c>
      <c r="L54" s="39">
        <v>0</v>
      </c>
      <c r="M54" s="39">
        <v>15</v>
      </c>
      <c r="N54" s="39">
        <v>0</v>
      </c>
      <c r="O54" s="39"/>
      <c r="P54" s="39" t="s">
        <v>44</v>
      </c>
      <c r="Q54" s="39">
        <v>0</v>
      </c>
      <c r="R54" s="39" t="s">
        <v>41</v>
      </c>
      <c r="S54" s="39"/>
      <c r="T54" s="39"/>
      <c r="U54" s="39" t="s">
        <v>41</v>
      </c>
      <c r="V54" s="39" t="s">
        <v>41</v>
      </c>
      <c r="W54" s="39" t="b">
        <v>0</v>
      </c>
      <c r="X54" s="39">
        <v>37500</v>
      </c>
      <c r="Y54" s="39">
        <v>0</v>
      </c>
      <c r="Z54" s="39" t="s">
        <v>41</v>
      </c>
      <c r="AA54" s="39">
        <v>0</v>
      </c>
      <c r="AB54" s="39" t="s">
        <v>288</v>
      </c>
      <c r="AC54" s="39" t="s">
        <v>41</v>
      </c>
      <c r="AD54" s="39" t="s">
        <v>41</v>
      </c>
      <c r="AE54" s="39" t="s">
        <v>41</v>
      </c>
    </row>
    <row r="55" spans="1:31" x14ac:dyDescent="0.3">
      <c r="A55" s="39">
        <v>33005</v>
      </c>
      <c r="B55" s="40" t="s">
        <v>377</v>
      </c>
      <c r="C55" s="41" t="s">
        <v>223</v>
      </c>
      <c r="D55" s="39" t="str">
        <f t="shared" si="32"/>
        <v>STR_ITEM_EQUIP_N_BO_06</v>
      </c>
      <c r="E55" s="39" t="str">
        <f t="shared" si="33"/>
        <v>STR_ITEM_EQUIP_N_BO_06_DESC</v>
      </c>
      <c r="F55" s="39">
        <v>2</v>
      </c>
      <c r="G55" s="39" t="s">
        <v>46</v>
      </c>
      <c r="H55" s="39">
        <v>3</v>
      </c>
      <c r="I55" s="39">
        <v>0</v>
      </c>
      <c r="J55" s="39">
        <v>0</v>
      </c>
      <c r="K55" s="39">
        <v>3</v>
      </c>
      <c r="L55" s="39">
        <v>0</v>
      </c>
      <c r="M55" s="39">
        <v>17</v>
      </c>
      <c r="N55" s="39">
        <v>0</v>
      </c>
      <c r="O55" s="39"/>
      <c r="P55" s="39" t="s">
        <v>44</v>
      </c>
      <c r="Q55" s="39">
        <v>0</v>
      </c>
      <c r="R55" s="39" t="s">
        <v>41</v>
      </c>
      <c r="S55" s="39"/>
      <c r="T55" s="39"/>
      <c r="U55" s="39" t="s">
        <v>41</v>
      </c>
      <c r="V55" s="39" t="s">
        <v>41</v>
      </c>
      <c r="W55" s="39" t="b">
        <v>0</v>
      </c>
      <c r="X55" s="39">
        <v>56250</v>
      </c>
      <c r="Y55" s="39">
        <v>0</v>
      </c>
      <c r="Z55" s="39" t="s">
        <v>41</v>
      </c>
      <c r="AA55" s="39">
        <v>0</v>
      </c>
      <c r="AB55" s="39" t="s">
        <v>289</v>
      </c>
      <c r="AC55" s="39" t="s">
        <v>41</v>
      </c>
      <c r="AD55" s="39" t="s">
        <v>41</v>
      </c>
      <c r="AE55" s="39" t="s">
        <v>41</v>
      </c>
    </row>
    <row r="56" spans="1:31" x14ac:dyDescent="0.3">
      <c r="A56" s="39">
        <v>33006</v>
      </c>
      <c r="B56" s="40" t="s">
        <v>378</v>
      </c>
      <c r="C56" s="41" t="s">
        <v>224</v>
      </c>
      <c r="D56" s="39" t="str">
        <f t="shared" si="32"/>
        <v>STR_ITEM_EQUIP_N_BO_07</v>
      </c>
      <c r="E56" s="39" t="str">
        <f t="shared" si="33"/>
        <v>STR_ITEM_EQUIP_N_BO_07_DESC</v>
      </c>
      <c r="F56" s="39">
        <v>2</v>
      </c>
      <c r="G56" s="39" t="s">
        <v>46</v>
      </c>
      <c r="H56" s="39">
        <v>3</v>
      </c>
      <c r="I56" s="39">
        <v>0</v>
      </c>
      <c r="J56" s="39">
        <v>0</v>
      </c>
      <c r="K56" s="39">
        <v>3</v>
      </c>
      <c r="L56" s="39">
        <v>0</v>
      </c>
      <c r="M56" s="39">
        <v>18</v>
      </c>
      <c r="N56" s="39">
        <v>0</v>
      </c>
      <c r="O56" s="39"/>
      <c r="P56" s="39" t="s">
        <v>44</v>
      </c>
      <c r="Q56" s="39">
        <v>0</v>
      </c>
      <c r="R56" s="39" t="s">
        <v>157</v>
      </c>
      <c r="S56" s="39" t="s">
        <v>158</v>
      </c>
      <c r="T56" s="39" t="s">
        <v>159</v>
      </c>
      <c r="U56" s="39" t="s">
        <v>160</v>
      </c>
      <c r="V56" s="39" t="s">
        <v>161</v>
      </c>
      <c r="W56" s="39" t="b">
        <v>0</v>
      </c>
      <c r="X56" s="39">
        <v>75000</v>
      </c>
      <c r="Y56" s="39">
        <v>0</v>
      </c>
      <c r="Z56" s="39" t="s">
        <v>41</v>
      </c>
      <c r="AA56" s="39">
        <v>0</v>
      </c>
      <c r="AB56" s="39" t="s">
        <v>290</v>
      </c>
      <c r="AC56" s="39" t="s">
        <v>41</v>
      </c>
      <c r="AD56" s="39" t="s">
        <v>41</v>
      </c>
      <c r="AE56" s="39" t="s">
        <v>41</v>
      </c>
    </row>
    <row r="57" spans="1:31" x14ac:dyDescent="0.3">
      <c r="A57" s="39">
        <v>33007</v>
      </c>
      <c r="B57" s="40" t="s">
        <v>337</v>
      </c>
      <c r="C57" s="41" t="s">
        <v>230</v>
      </c>
      <c r="D57" s="39" t="str">
        <f t="shared" si="32"/>
        <v>STR_ITEM_EQUIP_N_BO_08</v>
      </c>
      <c r="E57" s="39" t="str">
        <f t="shared" si="33"/>
        <v>STR_ITEM_EQUIP_N_BO_08_DESC</v>
      </c>
      <c r="F57" s="39">
        <v>3</v>
      </c>
      <c r="G57" s="39" t="s">
        <v>46</v>
      </c>
      <c r="H57" s="39">
        <v>3</v>
      </c>
      <c r="I57" s="39">
        <v>0</v>
      </c>
      <c r="J57" s="39">
        <v>0</v>
      </c>
      <c r="K57" s="39">
        <v>5</v>
      </c>
      <c r="L57" s="39">
        <v>0</v>
      </c>
      <c r="M57" s="39">
        <v>20</v>
      </c>
      <c r="N57" s="39">
        <v>0</v>
      </c>
      <c r="O57" s="39"/>
      <c r="P57" s="39" t="s">
        <v>44</v>
      </c>
      <c r="Q57" s="39">
        <v>0</v>
      </c>
      <c r="R57" s="39"/>
      <c r="S57" s="39"/>
      <c r="T57" s="39"/>
      <c r="U57" s="39"/>
      <c r="V57" s="39"/>
      <c r="W57" s="39" t="b">
        <v>0</v>
      </c>
      <c r="X57" s="39">
        <v>375000</v>
      </c>
      <c r="Y57" s="39">
        <v>0</v>
      </c>
      <c r="Z57" s="39" t="s">
        <v>41</v>
      </c>
      <c r="AA57" s="39">
        <v>0</v>
      </c>
      <c r="AB57" s="39" t="s">
        <v>288</v>
      </c>
      <c r="AC57" s="39" t="s">
        <v>41</v>
      </c>
      <c r="AD57" s="39" t="s">
        <v>41</v>
      </c>
      <c r="AE57" s="39" t="s">
        <v>41</v>
      </c>
    </row>
    <row r="58" spans="1:31" x14ac:dyDescent="0.3">
      <c r="A58" s="39">
        <v>33008</v>
      </c>
      <c r="B58" s="40" t="s">
        <v>379</v>
      </c>
      <c r="C58" s="41" t="s">
        <v>225</v>
      </c>
      <c r="D58" s="39" t="str">
        <f t="shared" ref="D58:D61" si="34">"STR_"&amp;UPPER(C58)</f>
        <v>STR_ITEM_EQUIP_N_BO_09</v>
      </c>
      <c r="E58" s="39" t="str">
        <f t="shared" ref="E58:E61" si="35">D58&amp;"_DESC"</f>
        <v>STR_ITEM_EQUIP_N_BO_09_DESC</v>
      </c>
      <c r="F58" s="39">
        <v>3</v>
      </c>
      <c r="G58" s="39" t="s">
        <v>46</v>
      </c>
      <c r="H58" s="39">
        <v>3</v>
      </c>
      <c r="I58" s="39">
        <v>0</v>
      </c>
      <c r="J58" s="39">
        <v>0</v>
      </c>
      <c r="K58" s="39">
        <v>5</v>
      </c>
      <c r="L58" s="39">
        <v>0</v>
      </c>
      <c r="M58" s="39">
        <v>22</v>
      </c>
      <c r="N58" s="39">
        <v>0</v>
      </c>
      <c r="O58" s="39"/>
      <c r="P58" s="39" t="s">
        <v>44</v>
      </c>
      <c r="Q58" s="39">
        <v>0</v>
      </c>
      <c r="R58" s="39" t="s">
        <v>41</v>
      </c>
      <c r="S58" s="39"/>
      <c r="T58" s="39"/>
      <c r="U58" s="39" t="s">
        <v>41</v>
      </c>
      <c r="V58" s="39" t="s">
        <v>41</v>
      </c>
      <c r="W58" s="39" t="b">
        <v>0</v>
      </c>
      <c r="X58" s="39">
        <v>562500</v>
      </c>
      <c r="Y58" s="39">
        <v>0</v>
      </c>
      <c r="Z58" s="39" t="s">
        <v>41</v>
      </c>
      <c r="AA58" s="39">
        <v>0</v>
      </c>
      <c r="AB58" s="39" t="s">
        <v>289</v>
      </c>
      <c r="AC58" s="39" t="s">
        <v>41</v>
      </c>
      <c r="AD58" s="39" t="s">
        <v>41</v>
      </c>
      <c r="AE58" s="39" t="s">
        <v>41</v>
      </c>
    </row>
    <row r="59" spans="1:31" x14ac:dyDescent="0.3">
      <c r="A59" s="39">
        <v>33009</v>
      </c>
      <c r="B59" s="40" t="s">
        <v>380</v>
      </c>
      <c r="C59" s="41" t="s">
        <v>226</v>
      </c>
      <c r="D59" s="39" t="str">
        <f t="shared" si="34"/>
        <v>STR_ITEM_EQUIP_N_BO_10</v>
      </c>
      <c r="E59" s="39" t="str">
        <f t="shared" si="35"/>
        <v>STR_ITEM_EQUIP_N_BO_10_DESC</v>
      </c>
      <c r="F59" s="39">
        <v>3</v>
      </c>
      <c r="G59" s="39" t="s">
        <v>46</v>
      </c>
      <c r="H59" s="39">
        <v>3</v>
      </c>
      <c r="I59" s="39">
        <v>0</v>
      </c>
      <c r="J59" s="39">
        <v>0</v>
      </c>
      <c r="K59" s="39">
        <v>5</v>
      </c>
      <c r="L59" s="39">
        <v>0</v>
      </c>
      <c r="M59" s="39">
        <v>23</v>
      </c>
      <c r="N59" s="39">
        <v>0</v>
      </c>
      <c r="O59" s="39"/>
      <c r="P59" s="39" t="s">
        <v>44</v>
      </c>
      <c r="Q59" s="39">
        <v>0</v>
      </c>
      <c r="R59" s="39" t="s">
        <v>157</v>
      </c>
      <c r="S59" s="39" t="s">
        <v>158</v>
      </c>
      <c r="T59" s="39" t="s">
        <v>159</v>
      </c>
      <c r="U59" s="39" t="s">
        <v>160</v>
      </c>
      <c r="V59" s="39" t="s">
        <v>161</v>
      </c>
      <c r="W59" s="39" t="b">
        <v>0</v>
      </c>
      <c r="X59" s="39">
        <v>750000</v>
      </c>
      <c r="Y59" s="39">
        <v>0</v>
      </c>
      <c r="Z59" s="39" t="s">
        <v>41</v>
      </c>
      <c r="AA59" s="39">
        <v>0</v>
      </c>
      <c r="AB59" s="39" t="s">
        <v>290</v>
      </c>
      <c r="AC59" s="39" t="s">
        <v>41</v>
      </c>
      <c r="AD59" s="39" t="s">
        <v>41</v>
      </c>
      <c r="AE59" s="39" t="s">
        <v>41</v>
      </c>
    </row>
    <row r="60" spans="1:31" x14ac:dyDescent="0.3">
      <c r="A60" s="39">
        <v>33010</v>
      </c>
      <c r="B60" s="40" t="s">
        <v>338</v>
      </c>
      <c r="C60" s="41" t="s">
        <v>231</v>
      </c>
      <c r="D60" s="39" t="str">
        <f t="shared" si="34"/>
        <v>STR_ITEM_EQUIP_N_BO_11</v>
      </c>
      <c r="E60" s="39" t="str">
        <f t="shared" si="35"/>
        <v>STR_ITEM_EQUIP_N_BO_11_DESC</v>
      </c>
      <c r="F60" s="39">
        <v>4</v>
      </c>
      <c r="G60" s="39" t="s">
        <v>46</v>
      </c>
      <c r="H60" s="39">
        <v>3</v>
      </c>
      <c r="I60" s="39">
        <v>0</v>
      </c>
      <c r="J60" s="39">
        <v>0</v>
      </c>
      <c r="K60" s="39">
        <v>7</v>
      </c>
      <c r="L60" s="39">
        <v>0</v>
      </c>
      <c r="M60" s="39">
        <v>25</v>
      </c>
      <c r="N60" s="39">
        <v>0</v>
      </c>
      <c r="O60" s="39"/>
      <c r="P60" s="39" t="s">
        <v>44</v>
      </c>
      <c r="Q60" s="39">
        <v>0</v>
      </c>
      <c r="R60" s="39" t="s">
        <v>41</v>
      </c>
      <c r="S60" s="39"/>
      <c r="T60" s="39"/>
      <c r="U60" s="39" t="s">
        <v>41</v>
      </c>
      <c r="V60" s="39" t="s">
        <v>41</v>
      </c>
      <c r="W60" s="39" t="b">
        <v>0</v>
      </c>
      <c r="X60" s="39">
        <v>3750000</v>
      </c>
      <c r="Y60" s="39">
        <v>0</v>
      </c>
      <c r="Z60" s="39" t="s">
        <v>41</v>
      </c>
      <c r="AA60" s="39">
        <v>0</v>
      </c>
      <c r="AB60" s="39" t="s">
        <v>288</v>
      </c>
      <c r="AC60" s="39" t="s">
        <v>41</v>
      </c>
      <c r="AD60" s="39" t="s">
        <v>41</v>
      </c>
      <c r="AE60" s="39" t="s">
        <v>41</v>
      </c>
    </row>
    <row r="61" spans="1:31" x14ac:dyDescent="0.3">
      <c r="A61" s="39">
        <v>33011</v>
      </c>
      <c r="B61" s="40" t="s">
        <v>381</v>
      </c>
      <c r="C61" s="41" t="s">
        <v>227</v>
      </c>
      <c r="D61" s="39" t="str">
        <f t="shared" si="34"/>
        <v>STR_ITEM_EQUIP_N_BO_12</v>
      </c>
      <c r="E61" s="39" t="str">
        <f t="shared" si="35"/>
        <v>STR_ITEM_EQUIP_N_BO_12_DESC</v>
      </c>
      <c r="F61" s="39">
        <v>4</v>
      </c>
      <c r="G61" s="39" t="s">
        <v>46</v>
      </c>
      <c r="H61" s="39">
        <v>3</v>
      </c>
      <c r="I61" s="39">
        <v>0</v>
      </c>
      <c r="J61" s="39">
        <v>0</v>
      </c>
      <c r="K61" s="39">
        <v>7</v>
      </c>
      <c r="L61" s="39">
        <v>0</v>
      </c>
      <c r="M61" s="39">
        <v>27</v>
      </c>
      <c r="N61" s="39">
        <v>0</v>
      </c>
      <c r="O61" s="39"/>
      <c r="P61" s="39" t="s">
        <v>44</v>
      </c>
      <c r="Q61" s="39">
        <v>0</v>
      </c>
      <c r="R61" s="39"/>
      <c r="S61" s="39"/>
      <c r="T61" s="39"/>
      <c r="U61" s="39"/>
      <c r="V61" s="39"/>
      <c r="W61" s="39" t="b">
        <v>0</v>
      </c>
      <c r="X61" s="39">
        <v>5625000</v>
      </c>
      <c r="Y61" s="39">
        <v>0</v>
      </c>
      <c r="Z61" s="39" t="s">
        <v>41</v>
      </c>
      <c r="AA61" s="39">
        <v>0</v>
      </c>
      <c r="AB61" s="39" t="s">
        <v>289</v>
      </c>
      <c r="AC61" s="39" t="s">
        <v>41</v>
      </c>
      <c r="AD61" s="39" t="s">
        <v>41</v>
      </c>
      <c r="AE61" s="39" t="s">
        <v>41</v>
      </c>
    </row>
    <row r="62" spans="1:31" x14ac:dyDescent="0.3">
      <c r="A62" s="39">
        <v>33012</v>
      </c>
      <c r="B62" s="40" t="s">
        <v>382</v>
      </c>
      <c r="C62" s="41" t="s">
        <v>228</v>
      </c>
      <c r="D62" s="39" t="str">
        <f t="shared" ref="D62" si="36">"STR_"&amp;UPPER(C62)</f>
        <v>STR_ITEM_EQUIP_N_BO_13</v>
      </c>
      <c r="E62" s="39" t="str">
        <f t="shared" ref="E62" si="37">D62&amp;"_DESC"</f>
        <v>STR_ITEM_EQUIP_N_BO_13_DESC</v>
      </c>
      <c r="F62" s="39">
        <v>4</v>
      </c>
      <c r="G62" s="39" t="s">
        <v>46</v>
      </c>
      <c r="H62" s="39">
        <v>3</v>
      </c>
      <c r="I62" s="39">
        <v>0</v>
      </c>
      <c r="J62" s="39">
        <v>0</v>
      </c>
      <c r="K62" s="39">
        <v>7</v>
      </c>
      <c r="L62" s="39">
        <v>0</v>
      </c>
      <c r="M62" s="39">
        <v>28</v>
      </c>
      <c r="N62" s="39">
        <v>0</v>
      </c>
      <c r="O62" s="39"/>
      <c r="P62" s="39" t="s">
        <v>44</v>
      </c>
      <c r="Q62" s="39">
        <v>0</v>
      </c>
      <c r="R62" s="39" t="s">
        <v>157</v>
      </c>
      <c r="S62" s="39" t="s">
        <v>158</v>
      </c>
      <c r="T62" s="39" t="s">
        <v>159</v>
      </c>
      <c r="U62" s="39" t="s">
        <v>160</v>
      </c>
      <c r="V62" s="39" t="s">
        <v>161</v>
      </c>
      <c r="W62" s="39" t="b">
        <v>0</v>
      </c>
      <c r="X62" s="39">
        <v>7500000</v>
      </c>
      <c r="Y62" s="39">
        <v>0</v>
      </c>
      <c r="Z62" s="39" t="s">
        <v>41</v>
      </c>
      <c r="AA62" s="39">
        <v>0</v>
      </c>
      <c r="AB62" s="39" t="s">
        <v>290</v>
      </c>
      <c r="AC62" s="39" t="s">
        <v>41</v>
      </c>
      <c r="AD62" s="39" t="s">
        <v>41</v>
      </c>
      <c r="AE62" s="39" t="s">
        <v>41</v>
      </c>
    </row>
    <row r="63" spans="1:31" x14ac:dyDescent="0.3">
      <c r="A63" s="34">
        <v>34000</v>
      </c>
      <c r="B63" s="35" t="s">
        <v>339</v>
      </c>
      <c r="C63" s="36" t="s">
        <v>232</v>
      </c>
      <c r="D63" s="34" t="str">
        <f t="shared" ref="D63:D99" si="38">"STR_"&amp;UPPER(C63)</f>
        <v>STR_ITEM_EQUIP_N_WE_01</v>
      </c>
      <c r="E63" s="34" t="str">
        <f t="shared" ref="E63:E99" si="39">D63&amp;"_DESC"</f>
        <v>STR_ITEM_EQUIP_N_WE_01_DESC</v>
      </c>
      <c r="F63" s="34">
        <v>1</v>
      </c>
      <c r="G63" s="34" t="s">
        <v>46</v>
      </c>
      <c r="H63" s="34">
        <v>1</v>
      </c>
      <c r="I63" s="34">
        <v>2</v>
      </c>
      <c r="J63" s="34">
        <v>2</v>
      </c>
      <c r="K63" s="34">
        <v>0</v>
      </c>
      <c r="L63" s="34">
        <v>1200</v>
      </c>
      <c r="M63" s="34">
        <v>0</v>
      </c>
      <c r="N63" s="34">
        <v>0</v>
      </c>
      <c r="O63" s="37" t="s">
        <v>424</v>
      </c>
      <c r="P63" s="34" t="s">
        <v>44</v>
      </c>
      <c r="Q63" s="34">
        <v>0</v>
      </c>
      <c r="W63" s="34" t="b">
        <v>0</v>
      </c>
      <c r="X63" s="34">
        <v>10</v>
      </c>
      <c r="Y63" s="34">
        <v>0</v>
      </c>
      <c r="Z63" s="34" t="s">
        <v>41</v>
      </c>
      <c r="AA63" s="37">
        <v>0</v>
      </c>
      <c r="AB63" s="37" t="s">
        <v>121</v>
      </c>
      <c r="AC63" s="37" t="s">
        <v>41</v>
      </c>
      <c r="AD63" s="37" t="s">
        <v>41</v>
      </c>
      <c r="AE63" s="37" t="s">
        <v>41</v>
      </c>
    </row>
    <row r="64" spans="1:31" x14ac:dyDescent="0.3">
      <c r="A64" s="34">
        <v>34001</v>
      </c>
      <c r="B64" s="35" t="s">
        <v>352</v>
      </c>
      <c r="C64" s="36" t="s">
        <v>191</v>
      </c>
      <c r="D64" s="34" t="str">
        <f t="shared" si="38"/>
        <v>STR_ITEM_EQUIP_N_WE_02</v>
      </c>
      <c r="E64" s="34" t="str">
        <f t="shared" si="39"/>
        <v>STR_ITEM_EQUIP_N_WE_02_DESC</v>
      </c>
      <c r="F64" s="34">
        <v>1</v>
      </c>
      <c r="G64" s="34" t="s">
        <v>46</v>
      </c>
      <c r="H64" s="34">
        <v>1</v>
      </c>
      <c r="I64" s="34">
        <v>3</v>
      </c>
      <c r="J64" s="34">
        <v>2</v>
      </c>
      <c r="K64" s="34">
        <v>0</v>
      </c>
      <c r="L64" s="34">
        <v>1200</v>
      </c>
      <c r="M64" s="34">
        <v>0</v>
      </c>
      <c r="N64" s="34">
        <v>0</v>
      </c>
      <c r="O64" s="37" t="s">
        <v>424</v>
      </c>
      <c r="P64" s="34" t="s">
        <v>44</v>
      </c>
      <c r="Q64" s="34">
        <v>0</v>
      </c>
      <c r="W64" s="34" t="b">
        <v>0</v>
      </c>
      <c r="X64" s="34">
        <v>7500</v>
      </c>
      <c r="Y64" s="34">
        <v>0</v>
      </c>
      <c r="Z64" s="34" t="s">
        <v>41</v>
      </c>
      <c r="AA64" s="37">
        <v>0</v>
      </c>
      <c r="AB64" s="37" t="s">
        <v>291</v>
      </c>
      <c r="AC64" s="37" t="s">
        <v>41</v>
      </c>
      <c r="AD64" s="37" t="s">
        <v>41</v>
      </c>
      <c r="AE64" s="37" t="s">
        <v>41</v>
      </c>
    </row>
    <row r="65" spans="1:31" x14ac:dyDescent="0.3">
      <c r="A65" s="34">
        <v>34002</v>
      </c>
      <c r="B65" s="35" t="s">
        <v>340</v>
      </c>
      <c r="C65" s="36" t="s">
        <v>192</v>
      </c>
      <c r="D65" s="34" t="str">
        <f t="shared" si="38"/>
        <v>STR_ITEM_EQUIP_N_WE_03</v>
      </c>
      <c r="E65" s="34" t="str">
        <f t="shared" si="39"/>
        <v>STR_ITEM_EQUIP_N_WE_03_DESC</v>
      </c>
      <c r="F65" s="34">
        <v>1</v>
      </c>
      <c r="G65" s="34" t="s">
        <v>46</v>
      </c>
      <c r="H65" s="34">
        <v>1</v>
      </c>
      <c r="I65" s="34">
        <v>4</v>
      </c>
      <c r="J65" s="34">
        <v>2</v>
      </c>
      <c r="K65" s="34">
        <v>0</v>
      </c>
      <c r="L65" s="34">
        <v>1200</v>
      </c>
      <c r="M65" s="34">
        <v>0</v>
      </c>
      <c r="N65" s="34">
        <v>0</v>
      </c>
      <c r="O65" s="37" t="s">
        <v>424</v>
      </c>
      <c r="P65" s="34" t="s">
        <v>44</v>
      </c>
      <c r="Q65" s="34">
        <v>0</v>
      </c>
      <c r="W65" s="34" t="b">
        <v>0</v>
      </c>
      <c r="X65" s="34">
        <v>11250</v>
      </c>
      <c r="Y65" s="34">
        <v>0</v>
      </c>
      <c r="Z65" s="34" t="s">
        <v>41</v>
      </c>
      <c r="AA65" s="37">
        <v>0</v>
      </c>
      <c r="AB65" s="37" t="s">
        <v>292</v>
      </c>
      <c r="AC65" s="37" t="s">
        <v>41</v>
      </c>
      <c r="AD65" s="37" t="s">
        <v>41</v>
      </c>
      <c r="AE65" s="37" t="s">
        <v>41</v>
      </c>
    </row>
    <row r="66" spans="1:31" x14ac:dyDescent="0.3">
      <c r="A66" s="34">
        <v>34003</v>
      </c>
      <c r="B66" s="35" t="s">
        <v>371</v>
      </c>
      <c r="C66" s="36" t="s">
        <v>193</v>
      </c>
      <c r="D66" s="34" t="str">
        <f t="shared" si="38"/>
        <v>STR_ITEM_EQUIP_N_WE_04</v>
      </c>
      <c r="E66" s="34" t="str">
        <f t="shared" si="39"/>
        <v>STR_ITEM_EQUIP_N_WE_04_DESC</v>
      </c>
      <c r="F66" s="34">
        <v>1</v>
      </c>
      <c r="G66" s="34" t="s">
        <v>46</v>
      </c>
      <c r="H66" s="34">
        <v>1</v>
      </c>
      <c r="I66" s="34">
        <v>4</v>
      </c>
      <c r="J66" s="34">
        <v>2</v>
      </c>
      <c r="K66" s="34">
        <v>0</v>
      </c>
      <c r="L66" s="34">
        <v>1150</v>
      </c>
      <c r="M66" s="34">
        <v>0</v>
      </c>
      <c r="N66" s="34">
        <v>0</v>
      </c>
      <c r="O66" s="37" t="s">
        <v>424</v>
      </c>
      <c r="P66" s="34" t="s">
        <v>44</v>
      </c>
      <c r="Q66" s="34">
        <v>0</v>
      </c>
      <c r="R66" s="37" t="s">
        <v>157</v>
      </c>
      <c r="S66" s="37" t="s">
        <v>158</v>
      </c>
      <c r="T66" s="37" t="s">
        <v>159</v>
      </c>
      <c r="U66" s="37" t="s">
        <v>160</v>
      </c>
      <c r="V66" s="37" t="s">
        <v>161</v>
      </c>
      <c r="W66" s="34" t="b">
        <v>0</v>
      </c>
      <c r="X66" s="34">
        <v>15000</v>
      </c>
      <c r="Y66" s="34">
        <v>0</v>
      </c>
      <c r="Z66" s="34" t="s">
        <v>41</v>
      </c>
      <c r="AA66" s="37">
        <v>0</v>
      </c>
      <c r="AB66" s="37" t="s">
        <v>293</v>
      </c>
      <c r="AC66" s="37" t="s">
        <v>41</v>
      </c>
      <c r="AD66" s="37" t="s">
        <v>41</v>
      </c>
      <c r="AE66" s="37" t="s">
        <v>41</v>
      </c>
    </row>
    <row r="67" spans="1:31" x14ac:dyDescent="0.3">
      <c r="A67" s="34">
        <v>34010</v>
      </c>
      <c r="B67" s="35" t="s">
        <v>353</v>
      </c>
      <c r="C67" s="36" t="s">
        <v>260</v>
      </c>
      <c r="D67" s="34" t="str">
        <f t="shared" ref="D67:D75" si="40">"STR_"&amp;UPPER(C67)</f>
        <v>STR_ITEM_EQUIP_N_WE_11</v>
      </c>
      <c r="E67" s="34" t="str">
        <f t="shared" ref="E67:E75" si="41">D67&amp;"_DESC"</f>
        <v>STR_ITEM_EQUIP_N_WE_11_DESC</v>
      </c>
      <c r="F67" s="34">
        <v>2</v>
      </c>
      <c r="G67" s="34" t="s">
        <v>46</v>
      </c>
      <c r="H67" s="34">
        <v>1</v>
      </c>
      <c r="I67" s="34">
        <v>5</v>
      </c>
      <c r="J67" s="34">
        <v>3</v>
      </c>
      <c r="K67" s="34">
        <v>0</v>
      </c>
      <c r="L67" s="34">
        <v>1200</v>
      </c>
      <c r="M67" s="34">
        <v>0</v>
      </c>
      <c r="N67" s="34">
        <v>0</v>
      </c>
      <c r="O67" s="37" t="s">
        <v>424</v>
      </c>
      <c r="P67" s="34" t="s">
        <v>44</v>
      </c>
      <c r="Q67" s="34">
        <v>0</v>
      </c>
      <c r="W67" s="34" t="b">
        <v>0</v>
      </c>
      <c r="X67" s="34">
        <v>75000</v>
      </c>
      <c r="Y67" s="34">
        <v>0</v>
      </c>
      <c r="Z67" s="34" t="s">
        <v>41</v>
      </c>
      <c r="AA67" s="37">
        <v>0</v>
      </c>
      <c r="AB67" s="37" t="s">
        <v>291</v>
      </c>
      <c r="AC67" s="37" t="s">
        <v>41</v>
      </c>
      <c r="AD67" s="37" t="s">
        <v>41</v>
      </c>
      <c r="AE67" s="37" t="s">
        <v>41</v>
      </c>
    </row>
    <row r="68" spans="1:31" x14ac:dyDescent="0.3">
      <c r="A68" s="34">
        <v>34011</v>
      </c>
      <c r="B68" s="35" t="s">
        <v>354</v>
      </c>
      <c r="C68" s="36" t="s">
        <v>236</v>
      </c>
      <c r="D68" s="34" t="str">
        <f t="shared" si="40"/>
        <v>STR_ITEM_EQUIP_N_WE_12</v>
      </c>
      <c r="E68" s="34" t="str">
        <f t="shared" si="41"/>
        <v>STR_ITEM_EQUIP_N_WE_12_DESC</v>
      </c>
      <c r="F68" s="34">
        <v>2</v>
      </c>
      <c r="G68" s="34" t="s">
        <v>46</v>
      </c>
      <c r="H68" s="34">
        <v>1</v>
      </c>
      <c r="I68" s="34">
        <v>6</v>
      </c>
      <c r="J68" s="34">
        <v>3</v>
      </c>
      <c r="K68" s="34">
        <v>0</v>
      </c>
      <c r="L68" s="34">
        <v>1200</v>
      </c>
      <c r="M68" s="34">
        <v>0</v>
      </c>
      <c r="N68" s="34">
        <v>0</v>
      </c>
      <c r="O68" s="37" t="s">
        <v>426</v>
      </c>
      <c r="P68" s="34" t="s">
        <v>44</v>
      </c>
      <c r="Q68" s="34">
        <v>0</v>
      </c>
      <c r="W68" s="34" t="b">
        <v>0</v>
      </c>
      <c r="X68" s="34">
        <v>112500</v>
      </c>
      <c r="Y68" s="34">
        <v>0</v>
      </c>
      <c r="Z68" s="34" t="s">
        <v>41</v>
      </c>
      <c r="AA68" s="37">
        <v>0</v>
      </c>
      <c r="AB68" s="37" t="s">
        <v>292</v>
      </c>
      <c r="AC68" s="37" t="s">
        <v>41</v>
      </c>
      <c r="AD68" s="37" t="s">
        <v>41</v>
      </c>
      <c r="AE68" s="37" t="s">
        <v>41</v>
      </c>
    </row>
    <row r="69" spans="1:31" x14ac:dyDescent="0.3">
      <c r="A69" s="34">
        <v>34012</v>
      </c>
      <c r="B69" s="35" t="s">
        <v>370</v>
      </c>
      <c r="C69" s="36" t="s">
        <v>237</v>
      </c>
      <c r="D69" s="34" t="str">
        <f t="shared" si="40"/>
        <v>STR_ITEM_EQUIP_N_WE_13</v>
      </c>
      <c r="E69" s="34" t="str">
        <f t="shared" si="41"/>
        <v>STR_ITEM_EQUIP_N_WE_13_DESC</v>
      </c>
      <c r="F69" s="34">
        <v>2</v>
      </c>
      <c r="G69" s="34" t="s">
        <v>46</v>
      </c>
      <c r="H69" s="34">
        <v>1</v>
      </c>
      <c r="I69" s="34">
        <v>6</v>
      </c>
      <c r="J69" s="34">
        <v>3</v>
      </c>
      <c r="K69" s="34">
        <v>0</v>
      </c>
      <c r="L69" s="34">
        <v>1150</v>
      </c>
      <c r="M69" s="34">
        <v>0</v>
      </c>
      <c r="N69" s="34">
        <v>0</v>
      </c>
      <c r="O69" s="37" t="s">
        <v>426</v>
      </c>
      <c r="P69" s="34" t="s">
        <v>44</v>
      </c>
      <c r="Q69" s="34">
        <v>0</v>
      </c>
      <c r="R69" s="37" t="s">
        <v>157</v>
      </c>
      <c r="S69" s="37" t="s">
        <v>158</v>
      </c>
      <c r="T69" s="37" t="s">
        <v>159</v>
      </c>
      <c r="U69" s="37" t="s">
        <v>160</v>
      </c>
      <c r="V69" s="37" t="s">
        <v>161</v>
      </c>
      <c r="W69" s="34" t="b">
        <v>0</v>
      </c>
      <c r="X69" s="34">
        <v>150000</v>
      </c>
      <c r="Y69" s="34">
        <v>0</v>
      </c>
      <c r="Z69" s="34" t="s">
        <v>41</v>
      </c>
      <c r="AA69" s="37">
        <v>0</v>
      </c>
      <c r="AB69" s="37" t="s">
        <v>293</v>
      </c>
      <c r="AC69" s="37" t="s">
        <v>41</v>
      </c>
      <c r="AD69" s="37" t="s">
        <v>41</v>
      </c>
      <c r="AE69" s="37" t="s">
        <v>41</v>
      </c>
    </row>
    <row r="70" spans="1:31" x14ac:dyDescent="0.3">
      <c r="A70" s="34">
        <v>34019</v>
      </c>
      <c r="B70" s="35" t="s">
        <v>356</v>
      </c>
      <c r="C70" s="36" t="s">
        <v>261</v>
      </c>
      <c r="D70" s="34" t="str">
        <f t="shared" si="40"/>
        <v>STR_ITEM_EQUIP_N_WE_20</v>
      </c>
      <c r="E70" s="34" t="str">
        <f t="shared" si="41"/>
        <v>STR_ITEM_EQUIP_N_WE_20_DESC</v>
      </c>
      <c r="F70" s="34">
        <v>3</v>
      </c>
      <c r="G70" s="34" t="s">
        <v>46</v>
      </c>
      <c r="H70" s="34">
        <v>1</v>
      </c>
      <c r="I70" s="34">
        <v>7</v>
      </c>
      <c r="J70" s="34">
        <v>5</v>
      </c>
      <c r="K70" s="34">
        <v>0</v>
      </c>
      <c r="L70" s="34">
        <v>1200</v>
      </c>
      <c r="M70" s="34">
        <v>0</v>
      </c>
      <c r="N70" s="34">
        <v>0</v>
      </c>
      <c r="O70" s="37" t="s">
        <v>424</v>
      </c>
      <c r="P70" s="34" t="s">
        <v>44</v>
      </c>
      <c r="Q70" s="34">
        <v>0</v>
      </c>
      <c r="W70" s="34" t="b">
        <v>0</v>
      </c>
      <c r="X70" s="34">
        <v>750000</v>
      </c>
      <c r="Y70" s="34">
        <v>0</v>
      </c>
      <c r="Z70" s="34" t="s">
        <v>41</v>
      </c>
      <c r="AA70" s="37">
        <v>0</v>
      </c>
      <c r="AB70" s="37" t="s">
        <v>291</v>
      </c>
      <c r="AC70" s="37" t="s">
        <v>41</v>
      </c>
      <c r="AD70" s="37" t="s">
        <v>41</v>
      </c>
      <c r="AE70" s="37" t="s">
        <v>41</v>
      </c>
    </row>
    <row r="71" spans="1:31" x14ac:dyDescent="0.3">
      <c r="A71" s="34">
        <v>34020</v>
      </c>
      <c r="B71" s="35" t="s">
        <v>355</v>
      </c>
      <c r="C71" s="36" t="s">
        <v>244</v>
      </c>
      <c r="D71" s="34" t="str">
        <f t="shared" si="40"/>
        <v>STR_ITEM_EQUIP_N_WE_21</v>
      </c>
      <c r="E71" s="34" t="str">
        <f t="shared" si="41"/>
        <v>STR_ITEM_EQUIP_N_WE_21_DESC</v>
      </c>
      <c r="F71" s="34">
        <v>3</v>
      </c>
      <c r="G71" s="34" t="s">
        <v>46</v>
      </c>
      <c r="H71" s="34">
        <v>1</v>
      </c>
      <c r="I71" s="34">
        <v>8</v>
      </c>
      <c r="J71" s="34">
        <v>5</v>
      </c>
      <c r="K71" s="34">
        <v>0</v>
      </c>
      <c r="L71" s="34">
        <v>1200</v>
      </c>
      <c r="M71" s="34">
        <v>0</v>
      </c>
      <c r="N71" s="34">
        <v>0</v>
      </c>
      <c r="O71" s="37" t="s">
        <v>429</v>
      </c>
      <c r="P71" s="34" t="s">
        <v>44</v>
      </c>
      <c r="Q71" s="34">
        <v>0</v>
      </c>
      <c r="W71" s="34" t="b">
        <v>0</v>
      </c>
      <c r="X71" s="34">
        <v>1125000</v>
      </c>
      <c r="Y71" s="34">
        <v>0</v>
      </c>
      <c r="Z71" s="34" t="s">
        <v>41</v>
      </c>
      <c r="AA71" s="37">
        <v>0</v>
      </c>
      <c r="AB71" s="37" t="s">
        <v>292</v>
      </c>
      <c r="AC71" s="37" t="s">
        <v>41</v>
      </c>
      <c r="AD71" s="37" t="s">
        <v>41</v>
      </c>
      <c r="AE71" s="37" t="s">
        <v>41</v>
      </c>
    </row>
    <row r="72" spans="1:31" x14ac:dyDescent="0.3">
      <c r="A72" s="34">
        <v>34021</v>
      </c>
      <c r="B72" s="35" t="s">
        <v>372</v>
      </c>
      <c r="C72" s="36" t="s">
        <v>245</v>
      </c>
      <c r="D72" s="34" t="str">
        <f t="shared" si="40"/>
        <v>STR_ITEM_EQUIP_N_WE_22</v>
      </c>
      <c r="E72" s="34" t="str">
        <f t="shared" si="41"/>
        <v>STR_ITEM_EQUIP_N_WE_22_DESC</v>
      </c>
      <c r="F72" s="34">
        <v>3</v>
      </c>
      <c r="G72" s="34" t="s">
        <v>46</v>
      </c>
      <c r="H72" s="34">
        <v>1</v>
      </c>
      <c r="I72" s="34">
        <v>8</v>
      </c>
      <c r="J72" s="34">
        <v>5</v>
      </c>
      <c r="K72" s="34">
        <v>0</v>
      </c>
      <c r="L72" s="34">
        <v>1150</v>
      </c>
      <c r="M72" s="34">
        <v>0</v>
      </c>
      <c r="N72" s="34">
        <v>0</v>
      </c>
      <c r="O72" s="37" t="s">
        <v>429</v>
      </c>
      <c r="P72" s="34" t="s">
        <v>44</v>
      </c>
      <c r="Q72" s="34">
        <v>0</v>
      </c>
      <c r="R72" s="37" t="s">
        <v>157</v>
      </c>
      <c r="S72" s="37" t="s">
        <v>158</v>
      </c>
      <c r="T72" s="37" t="s">
        <v>159</v>
      </c>
      <c r="U72" s="37" t="s">
        <v>160</v>
      </c>
      <c r="V72" s="37" t="s">
        <v>161</v>
      </c>
      <c r="W72" s="34" t="b">
        <v>0</v>
      </c>
      <c r="X72" s="34">
        <v>1500000</v>
      </c>
      <c r="Y72" s="34">
        <v>0</v>
      </c>
      <c r="Z72" s="34" t="s">
        <v>41</v>
      </c>
      <c r="AA72" s="37">
        <v>0</v>
      </c>
      <c r="AB72" s="37" t="s">
        <v>293</v>
      </c>
      <c r="AC72" s="37" t="s">
        <v>41</v>
      </c>
      <c r="AD72" s="37" t="s">
        <v>41</v>
      </c>
      <c r="AE72" s="37" t="s">
        <v>41</v>
      </c>
    </row>
    <row r="73" spans="1:31" x14ac:dyDescent="0.3">
      <c r="A73" s="34">
        <v>34028</v>
      </c>
      <c r="B73" s="35" t="s">
        <v>357</v>
      </c>
      <c r="C73" s="36" t="s">
        <v>262</v>
      </c>
      <c r="D73" s="34" t="str">
        <f t="shared" si="40"/>
        <v>STR_ITEM_EQUIP_N_WE_29</v>
      </c>
      <c r="E73" s="34" t="str">
        <f t="shared" si="41"/>
        <v>STR_ITEM_EQUIP_N_WE_29_DESC</v>
      </c>
      <c r="F73" s="34">
        <v>4</v>
      </c>
      <c r="G73" s="34" t="s">
        <v>46</v>
      </c>
      <c r="H73" s="34">
        <v>1</v>
      </c>
      <c r="I73" s="34">
        <v>9</v>
      </c>
      <c r="J73" s="34">
        <v>6</v>
      </c>
      <c r="K73" s="34">
        <v>0</v>
      </c>
      <c r="L73" s="34">
        <v>1200</v>
      </c>
      <c r="M73" s="34">
        <v>0</v>
      </c>
      <c r="N73" s="34">
        <v>0</v>
      </c>
      <c r="O73" s="37" t="s">
        <v>424</v>
      </c>
      <c r="P73" s="34" t="s">
        <v>44</v>
      </c>
      <c r="Q73" s="34">
        <v>0</v>
      </c>
      <c r="W73" s="34" t="b">
        <v>0</v>
      </c>
      <c r="X73" s="34">
        <v>7500000</v>
      </c>
      <c r="Y73" s="34">
        <v>0</v>
      </c>
      <c r="Z73" s="34" t="s">
        <v>41</v>
      </c>
      <c r="AA73" s="37">
        <v>0</v>
      </c>
      <c r="AB73" s="37" t="s">
        <v>291</v>
      </c>
      <c r="AC73" s="37" t="s">
        <v>41</v>
      </c>
      <c r="AD73" s="37" t="s">
        <v>41</v>
      </c>
      <c r="AE73" s="37" t="s">
        <v>41</v>
      </c>
    </row>
    <row r="74" spans="1:31" x14ac:dyDescent="0.3">
      <c r="A74" s="34">
        <v>34029</v>
      </c>
      <c r="B74" s="35" t="s">
        <v>358</v>
      </c>
      <c r="C74" s="36" t="s">
        <v>252</v>
      </c>
      <c r="D74" s="34" t="str">
        <f t="shared" si="40"/>
        <v>STR_ITEM_EQUIP_N_WE_30</v>
      </c>
      <c r="E74" s="34" t="str">
        <f t="shared" si="41"/>
        <v>STR_ITEM_EQUIP_N_WE_30_DESC</v>
      </c>
      <c r="F74" s="34">
        <v>4</v>
      </c>
      <c r="G74" s="34" t="s">
        <v>46</v>
      </c>
      <c r="H74" s="34">
        <v>1</v>
      </c>
      <c r="I74" s="34">
        <v>10</v>
      </c>
      <c r="J74" s="34">
        <v>6</v>
      </c>
      <c r="K74" s="34">
        <v>0</v>
      </c>
      <c r="L74" s="34">
        <v>1200</v>
      </c>
      <c r="M74" s="34">
        <v>0</v>
      </c>
      <c r="N74" s="34">
        <v>0</v>
      </c>
      <c r="O74" s="37" t="s">
        <v>429</v>
      </c>
      <c r="P74" s="34" t="s">
        <v>44</v>
      </c>
      <c r="Q74" s="34">
        <v>0</v>
      </c>
      <c r="W74" s="34" t="b">
        <v>0</v>
      </c>
      <c r="X74" s="34">
        <v>11250000</v>
      </c>
      <c r="Y74" s="34">
        <v>0</v>
      </c>
      <c r="Z74" s="34" t="s">
        <v>41</v>
      </c>
      <c r="AA74" s="37">
        <v>0</v>
      </c>
      <c r="AB74" s="37" t="s">
        <v>292</v>
      </c>
      <c r="AC74" s="37" t="s">
        <v>41</v>
      </c>
      <c r="AD74" s="37" t="s">
        <v>41</v>
      </c>
      <c r="AE74" s="37" t="s">
        <v>41</v>
      </c>
    </row>
    <row r="75" spans="1:31" x14ac:dyDescent="0.3">
      <c r="A75" s="34">
        <v>34030</v>
      </c>
      <c r="B75" s="35" t="s">
        <v>373</v>
      </c>
      <c r="C75" s="36" t="s">
        <v>253</v>
      </c>
      <c r="D75" s="34" t="str">
        <f t="shared" si="40"/>
        <v>STR_ITEM_EQUIP_N_WE_31</v>
      </c>
      <c r="E75" s="34" t="str">
        <f t="shared" si="41"/>
        <v>STR_ITEM_EQUIP_N_WE_31_DESC</v>
      </c>
      <c r="F75" s="34">
        <v>4</v>
      </c>
      <c r="G75" s="34" t="s">
        <v>46</v>
      </c>
      <c r="H75" s="34">
        <v>1</v>
      </c>
      <c r="I75" s="34">
        <v>10</v>
      </c>
      <c r="J75" s="34">
        <v>6</v>
      </c>
      <c r="K75" s="34">
        <v>0</v>
      </c>
      <c r="L75" s="34">
        <v>1150</v>
      </c>
      <c r="M75" s="34">
        <v>0</v>
      </c>
      <c r="N75" s="34">
        <v>0</v>
      </c>
      <c r="O75" s="37" t="s">
        <v>430</v>
      </c>
      <c r="P75" s="34" t="s">
        <v>44</v>
      </c>
      <c r="Q75" s="34">
        <v>0</v>
      </c>
      <c r="R75" s="37" t="s">
        <v>157</v>
      </c>
      <c r="S75" s="37" t="s">
        <v>158</v>
      </c>
      <c r="T75" s="37" t="s">
        <v>159</v>
      </c>
      <c r="U75" s="37" t="s">
        <v>160</v>
      </c>
      <c r="V75" s="37" t="s">
        <v>161</v>
      </c>
      <c r="W75" s="34" t="b">
        <v>0</v>
      </c>
      <c r="X75" s="34">
        <v>15000000</v>
      </c>
      <c r="Y75" s="34">
        <v>0</v>
      </c>
      <c r="Z75" s="34" t="s">
        <v>41</v>
      </c>
      <c r="AA75" s="37">
        <v>0</v>
      </c>
      <c r="AB75" s="37" t="s">
        <v>293</v>
      </c>
      <c r="AC75" s="37" t="s">
        <v>41</v>
      </c>
      <c r="AD75" s="37" t="s">
        <v>41</v>
      </c>
      <c r="AE75" s="37" t="s">
        <v>41</v>
      </c>
    </row>
    <row r="76" spans="1:31" x14ac:dyDescent="0.3">
      <c r="A76" s="34">
        <v>34200</v>
      </c>
      <c r="B76" s="35" t="s">
        <v>197</v>
      </c>
      <c r="C76" s="36" t="s">
        <v>194</v>
      </c>
      <c r="D76" s="34" t="str">
        <f t="shared" si="38"/>
        <v>STR_ITEM_EQUIP_N_WE_05</v>
      </c>
      <c r="E76" s="34" t="str">
        <f t="shared" si="39"/>
        <v>STR_ITEM_EQUIP_N_WE_05_DESC</v>
      </c>
      <c r="F76" s="34">
        <v>1</v>
      </c>
      <c r="G76" s="34" t="s">
        <v>46</v>
      </c>
      <c r="H76" s="34">
        <v>1</v>
      </c>
      <c r="I76" s="34">
        <v>2</v>
      </c>
      <c r="J76" s="34">
        <v>3</v>
      </c>
      <c r="K76" s="34">
        <v>0</v>
      </c>
      <c r="L76" s="34">
        <v>1400</v>
      </c>
      <c r="M76" s="34">
        <v>0</v>
      </c>
      <c r="N76" s="34">
        <v>0</v>
      </c>
      <c r="O76" s="37" t="s">
        <v>423</v>
      </c>
      <c r="P76" s="34" t="s">
        <v>44</v>
      </c>
      <c r="Q76" s="34">
        <v>0</v>
      </c>
      <c r="W76" s="34" t="b">
        <v>0</v>
      </c>
      <c r="X76" s="34">
        <v>7500</v>
      </c>
      <c r="Y76" s="34">
        <v>0</v>
      </c>
      <c r="Z76" s="34" t="s">
        <v>41</v>
      </c>
      <c r="AA76" s="37">
        <v>0</v>
      </c>
      <c r="AB76" s="37" t="s">
        <v>294</v>
      </c>
      <c r="AC76" s="37" t="s">
        <v>41</v>
      </c>
      <c r="AD76" s="37" t="s">
        <v>41</v>
      </c>
      <c r="AE76" s="37" t="s">
        <v>41</v>
      </c>
    </row>
    <row r="77" spans="1:31" x14ac:dyDescent="0.3">
      <c r="A77" s="34">
        <v>34201</v>
      </c>
      <c r="B77" s="35" t="s">
        <v>341</v>
      </c>
      <c r="C77" s="36" t="s">
        <v>195</v>
      </c>
      <c r="D77" s="34" t="str">
        <f t="shared" si="38"/>
        <v>STR_ITEM_EQUIP_N_WE_06</v>
      </c>
      <c r="E77" s="34" t="str">
        <f t="shared" si="39"/>
        <v>STR_ITEM_EQUIP_N_WE_06_DESC</v>
      </c>
      <c r="F77" s="34">
        <v>1</v>
      </c>
      <c r="G77" s="34" t="s">
        <v>46</v>
      </c>
      <c r="H77" s="34">
        <v>1</v>
      </c>
      <c r="I77" s="34">
        <v>2</v>
      </c>
      <c r="J77" s="34">
        <v>4</v>
      </c>
      <c r="K77" s="34">
        <v>0</v>
      </c>
      <c r="L77" s="34">
        <v>1400</v>
      </c>
      <c r="M77" s="34">
        <v>0</v>
      </c>
      <c r="N77" s="34">
        <v>0</v>
      </c>
      <c r="O77" s="37" t="s">
        <v>423</v>
      </c>
      <c r="P77" s="34" t="s">
        <v>44</v>
      </c>
      <c r="Q77" s="34">
        <v>0</v>
      </c>
      <c r="W77" s="34" t="b">
        <v>0</v>
      </c>
      <c r="X77" s="34">
        <v>11250</v>
      </c>
      <c r="Y77" s="34">
        <v>0</v>
      </c>
      <c r="Z77" s="34" t="s">
        <v>41</v>
      </c>
      <c r="AA77" s="37">
        <v>0</v>
      </c>
      <c r="AB77" s="37" t="s">
        <v>295</v>
      </c>
      <c r="AC77" s="37" t="s">
        <v>41</v>
      </c>
      <c r="AD77" s="37" t="s">
        <v>41</v>
      </c>
      <c r="AE77" s="37" t="s">
        <v>41</v>
      </c>
    </row>
    <row r="78" spans="1:31" x14ac:dyDescent="0.3">
      <c r="A78" s="34">
        <v>34202</v>
      </c>
      <c r="B78" s="35" t="s">
        <v>342</v>
      </c>
      <c r="C78" s="36" t="s">
        <v>196</v>
      </c>
      <c r="D78" s="34" t="str">
        <f t="shared" si="38"/>
        <v>STR_ITEM_EQUIP_N_WE_07</v>
      </c>
      <c r="E78" s="34" t="str">
        <f t="shared" si="39"/>
        <v>STR_ITEM_EQUIP_N_WE_07_DESC</v>
      </c>
      <c r="F78" s="34">
        <v>1</v>
      </c>
      <c r="G78" s="34" t="s">
        <v>46</v>
      </c>
      <c r="H78" s="34">
        <v>1</v>
      </c>
      <c r="I78" s="34">
        <v>2</v>
      </c>
      <c r="J78" s="34">
        <v>4</v>
      </c>
      <c r="K78" s="34">
        <v>0</v>
      </c>
      <c r="L78" s="34">
        <v>1350</v>
      </c>
      <c r="M78" s="34">
        <v>0</v>
      </c>
      <c r="N78" s="34">
        <v>0</v>
      </c>
      <c r="O78" s="37" t="s">
        <v>423</v>
      </c>
      <c r="P78" s="34" t="s">
        <v>44</v>
      </c>
      <c r="Q78" s="34">
        <v>0</v>
      </c>
      <c r="R78" s="37" t="s">
        <v>157</v>
      </c>
      <c r="S78" s="37" t="s">
        <v>158</v>
      </c>
      <c r="T78" s="37" t="s">
        <v>159</v>
      </c>
      <c r="U78" s="37" t="s">
        <v>160</v>
      </c>
      <c r="V78" s="37" t="s">
        <v>161</v>
      </c>
      <c r="W78" s="34" t="b">
        <v>0</v>
      </c>
      <c r="X78" s="34">
        <v>15000</v>
      </c>
      <c r="Y78" s="34">
        <v>0</v>
      </c>
      <c r="Z78" s="34" t="s">
        <v>41</v>
      </c>
      <c r="AA78" s="37">
        <v>0</v>
      </c>
      <c r="AB78" s="37" t="s">
        <v>296</v>
      </c>
      <c r="AC78" s="37" t="s">
        <v>41</v>
      </c>
      <c r="AD78" s="37" t="s">
        <v>41</v>
      </c>
      <c r="AE78" s="37" t="s">
        <v>41</v>
      </c>
    </row>
    <row r="79" spans="1:31" x14ac:dyDescent="0.3">
      <c r="A79" s="34">
        <v>34203</v>
      </c>
      <c r="B79" s="35" t="s">
        <v>345</v>
      </c>
      <c r="C79" s="36" t="s">
        <v>238</v>
      </c>
      <c r="D79" s="34" t="str">
        <f t="shared" ref="D79:D87" si="42">"STR_"&amp;UPPER(C79)</f>
        <v>STR_ITEM_EQUIP_N_WE_14</v>
      </c>
      <c r="E79" s="34" t="str">
        <f t="shared" ref="E79:E87" si="43">D79&amp;"_DESC"</f>
        <v>STR_ITEM_EQUIP_N_WE_14_DESC</v>
      </c>
      <c r="F79" s="34">
        <v>2</v>
      </c>
      <c r="G79" s="34" t="s">
        <v>46</v>
      </c>
      <c r="H79" s="34">
        <v>1</v>
      </c>
      <c r="I79" s="34">
        <v>3</v>
      </c>
      <c r="J79" s="34">
        <v>5</v>
      </c>
      <c r="K79" s="34">
        <v>0</v>
      </c>
      <c r="L79" s="34">
        <v>1400</v>
      </c>
      <c r="M79" s="34">
        <v>0</v>
      </c>
      <c r="N79" s="34">
        <v>0</v>
      </c>
      <c r="O79" s="37" t="s">
        <v>423</v>
      </c>
      <c r="P79" s="34" t="s">
        <v>44</v>
      </c>
      <c r="Q79" s="34">
        <v>0</v>
      </c>
      <c r="W79" s="34" t="b">
        <v>0</v>
      </c>
      <c r="X79" s="34">
        <v>75000</v>
      </c>
      <c r="Y79" s="34">
        <v>0</v>
      </c>
      <c r="Z79" s="34" t="s">
        <v>41</v>
      </c>
      <c r="AA79" s="37">
        <v>0</v>
      </c>
      <c r="AB79" s="37" t="s">
        <v>294</v>
      </c>
      <c r="AC79" s="37" t="s">
        <v>41</v>
      </c>
      <c r="AD79" s="37" t="s">
        <v>41</v>
      </c>
      <c r="AE79" s="37" t="s">
        <v>41</v>
      </c>
    </row>
    <row r="80" spans="1:31" x14ac:dyDescent="0.3">
      <c r="A80" s="34">
        <v>34204</v>
      </c>
      <c r="B80" s="35" t="s">
        <v>346</v>
      </c>
      <c r="C80" s="36" t="s">
        <v>239</v>
      </c>
      <c r="D80" s="34" t="str">
        <f t="shared" si="42"/>
        <v>STR_ITEM_EQUIP_N_WE_15</v>
      </c>
      <c r="E80" s="34" t="str">
        <f t="shared" si="43"/>
        <v>STR_ITEM_EQUIP_N_WE_15_DESC</v>
      </c>
      <c r="F80" s="34">
        <v>2</v>
      </c>
      <c r="G80" s="34" t="s">
        <v>46</v>
      </c>
      <c r="H80" s="34">
        <v>1</v>
      </c>
      <c r="I80" s="34">
        <v>3</v>
      </c>
      <c r="J80" s="34">
        <v>6</v>
      </c>
      <c r="K80" s="34">
        <v>0</v>
      </c>
      <c r="L80" s="34">
        <v>1400</v>
      </c>
      <c r="M80" s="34">
        <v>0</v>
      </c>
      <c r="N80" s="34">
        <v>0</v>
      </c>
      <c r="O80" s="37" t="s">
        <v>423</v>
      </c>
      <c r="P80" s="34" t="s">
        <v>44</v>
      </c>
      <c r="Q80" s="34">
        <v>0</v>
      </c>
      <c r="W80" s="34" t="b">
        <v>0</v>
      </c>
      <c r="X80" s="34">
        <v>112500</v>
      </c>
      <c r="Y80" s="34">
        <v>0</v>
      </c>
      <c r="Z80" s="34" t="s">
        <v>41</v>
      </c>
      <c r="AA80" s="37">
        <v>0</v>
      </c>
      <c r="AB80" s="37" t="s">
        <v>295</v>
      </c>
      <c r="AC80" s="37" t="s">
        <v>41</v>
      </c>
      <c r="AD80" s="37" t="s">
        <v>41</v>
      </c>
      <c r="AE80" s="37" t="s">
        <v>41</v>
      </c>
    </row>
    <row r="81" spans="1:31" x14ac:dyDescent="0.3">
      <c r="A81" s="34">
        <v>34205</v>
      </c>
      <c r="B81" s="35" t="s">
        <v>343</v>
      </c>
      <c r="C81" s="36" t="s">
        <v>240</v>
      </c>
      <c r="D81" s="34" t="str">
        <f t="shared" si="42"/>
        <v>STR_ITEM_EQUIP_N_WE_16</v>
      </c>
      <c r="E81" s="34" t="str">
        <f t="shared" si="43"/>
        <v>STR_ITEM_EQUIP_N_WE_16_DESC</v>
      </c>
      <c r="F81" s="34">
        <v>2</v>
      </c>
      <c r="G81" s="34" t="s">
        <v>46</v>
      </c>
      <c r="H81" s="34">
        <v>1</v>
      </c>
      <c r="I81" s="34">
        <v>3</v>
      </c>
      <c r="J81" s="34">
        <v>6</v>
      </c>
      <c r="K81" s="34">
        <v>0</v>
      </c>
      <c r="L81" s="34">
        <v>1350</v>
      </c>
      <c r="M81" s="34">
        <v>0</v>
      </c>
      <c r="N81" s="34">
        <v>0</v>
      </c>
      <c r="O81" s="37" t="s">
        <v>427</v>
      </c>
      <c r="P81" s="34" t="s">
        <v>44</v>
      </c>
      <c r="Q81" s="34">
        <v>0</v>
      </c>
      <c r="R81" s="37" t="s">
        <v>157</v>
      </c>
      <c r="S81" s="37" t="s">
        <v>158</v>
      </c>
      <c r="T81" s="37" t="s">
        <v>159</v>
      </c>
      <c r="U81" s="37" t="s">
        <v>160</v>
      </c>
      <c r="V81" s="37" t="s">
        <v>161</v>
      </c>
      <c r="W81" s="34" t="b">
        <v>0</v>
      </c>
      <c r="X81" s="34">
        <v>150000</v>
      </c>
      <c r="Y81" s="34">
        <v>0</v>
      </c>
      <c r="Z81" s="34" t="s">
        <v>41</v>
      </c>
      <c r="AA81" s="37">
        <v>0</v>
      </c>
      <c r="AB81" s="37" t="s">
        <v>296</v>
      </c>
      <c r="AC81" s="37" t="s">
        <v>41</v>
      </c>
      <c r="AD81" s="37" t="s">
        <v>41</v>
      </c>
      <c r="AE81" s="37" t="s">
        <v>41</v>
      </c>
    </row>
    <row r="82" spans="1:31" x14ac:dyDescent="0.3">
      <c r="A82" s="34">
        <v>34206</v>
      </c>
      <c r="B82" s="35" t="s">
        <v>347</v>
      </c>
      <c r="C82" s="36" t="s">
        <v>246</v>
      </c>
      <c r="D82" s="34" t="str">
        <f t="shared" si="42"/>
        <v>STR_ITEM_EQUIP_N_WE_23</v>
      </c>
      <c r="E82" s="34" t="str">
        <f t="shared" si="43"/>
        <v>STR_ITEM_EQUIP_N_WE_23_DESC</v>
      </c>
      <c r="F82" s="34">
        <v>3</v>
      </c>
      <c r="G82" s="34" t="s">
        <v>46</v>
      </c>
      <c r="H82" s="34">
        <v>1</v>
      </c>
      <c r="I82" s="34">
        <v>5</v>
      </c>
      <c r="J82" s="34">
        <v>7</v>
      </c>
      <c r="K82" s="34">
        <v>0</v>
      </c>
      <c r="L82" s="34">
        <v>1400</v>
      </c>
      <c r="M82" s="34">
        <v>0</v>
      </c>
      <c r="N82" s="34">
        <v>0</v>
      </c>
      <c r="O82" s="37" t="s">
        <v>434</v>
      </c>
      <c r="P82" s="34" t="s">
        <v>44</v>
      </c>
      <c r="Q82" s="34">
        <v>0</v>
      </c>
      <c r="W82" s="34" t="b">
        <v>0</v>
      </c>
      <c r="X82" s="34">
        <v>750000</v>
      </c>
      <c r="Y82" s="34">
        <v>0</v>
      </c>
      <c r="Z82" s="34" t="s">
        <v>41</v>
      </c>
      <c r="AA82" s="37">
        <v>0</v>
      </c>
      <c r="AB82" s="37" t="s">
        <v>294</v>
      </c>
      <c r="AC82" s="37" t="s">
        <v>41</v>
      </c>
      <c r="AD82" s="37" t="s">
        <v>41</v>
      </c>
      <c r="AE82" s="37" t="s">
        <v>41</v>
      </c>
    </row>
    <row r="83" spans="1:31" x14ac:dyDescent="0.3">
      <c r="A83" s="34">
        <v>34207</v>
      </c>
      <c r="B83" s="35" t="s">
        <v>348</v>
      </c>
      <c r="C83" s="36" t="s">
        <v>247</v>
      </c>
      <c r="D83" s="34" t="str">
        <f t="shared" si="42"/>
        <v>STR_ITEM_EQUIP_N_WE_24</v>
      </c>
      <c r="E83" s="34" t="str">
        <f t="shared" si="43"/>
        <v>STR_ITEM_EQUIP_N_WE_24_DESC</v>
      </c>
      <c r="F83" s="34">
        <v>3</v>
      </c>
      <c r="G83" s="34" t="s">
        <v>46</v>
      </c>
      <c r="H83" s="34">
        <v>1</v>
      </c>
      <c r="I83" s="34">
        <v>5</v>
      </c>
      <c r="J83" s="34">
        <v>8</v>
      </c>
      <c r="K83" s="34">
        <v>0</v>
      </c>
      <c r="L83" s="34">
        <v>1400</v>
      </c>
      <c r="M83" s="34">
        <v>0</v>
      </c>
      <c r="N83" s="34">
        <v>0</v>
      </c>
      <c r="O83" s="37" t="s">
        <v>434</v>
      </c>
      <c r="P83" s="34" t="s">
        <v>44</v>
      </c>
      <c r="Q83" s="34">
        <v>0</v>
      </c>
      <c r="W83" s="34" t="b">
        <v>0</v>
      </c>
      <c r="X83" s="34">
        <v>1125000</v>
      </c>
      <c r="Y83" s="34">
        <v>0</v>
      </c>
      <c r="Z83" s="34" t="s">
        <v>41</v>
      </c>
      <c r="AA83" s="37">
        <v>0</v>
      </c>
      <c r="AB83" s="37" t="s">
        <v>295</v>
      </c>
      <c r="AC83" s="37" t="s">
        <v>41</v>
      </c>
      <c r="AD83" s="37" t="s">
        <v>41</v>
      </c>
      <c r="AE83" s="37" t="s">
        <v>41</v>
      </c>
    </row>
    <row r="84" spans="1:31" x14ac:dyDescent="0.3">
      <c r="A84" s="34">
        <v>34208</v>
      </c>
      <c r="B84" s="35" t="s">
        <v>344</v>
      </c>
      <c r="C84" s="36" t="s">
        <v>248</v>
      </c>
      <c r="D84" s="34" t="str">
        <f t="shared" si="42"/>
        <v>STR_ITEM_EQUIP_N_WE_25</v>
      </c>
      <c r="E84" s="34" t="str">
        <f t="shared" si="43"/>
        <v>STR_ITEM_EQUIP_N_WE_25_DESC</v>
      </c>
      <c r="F84" s="34">
        <v>3</v>
      </c>
      <c r="G84" s="34" t="s">
        <v>46</v>
      </c>
      <c r="H84" s="34">
        <v>1</v>
      </c>
      <c r="I84" s="34">
        <v>5</v>
      </c>
      <c r="J84" s="34">
        <v>8</v>
      </c>
      <c r="K84" s="34">
        <v>0</v>
      </c>
      <c r="L84" s="34">
        <v>1350</v>
      </c>
      <c r="M84" s="34">
        <v>0</v>
      </c>
      <c r="N84" s="34">
        <v>0</v>
      </c>
      <c r="O84" s="37" t="s">
        <v>427</v>
      </c>
      <c r="P84" s="34" t="s">
        <v>44</v>
      </c>
      <c r="Q84" s="34">
        <v>0</v>
      </c>
      <c r="R84" s="37" t="s">
        <v>157</v>
      </c>
      <c r="S84" s="37" t="s">
        <v>158</v>
      </c>
      <c r="T84" s="37" t="s">
        <v>159</v>
      </c>
      <c r="U84" s="37" t="s">
        <v>160</v>
      </c>
      <c r="V84" s="37" t="s">
        <v>161</v>
      </c>
      <c r="W84" s="34" t="b">
        <v>0</v>
      </c>
      <c r="X84" s="34">
        <v>1500000</v>
      </c>
      <c r="Y84" s="34">
        <v>0</v>
      </c>
      <c r="Z84" s="34" t="s">
        <v>41</v>
      </c>
      <c r="AA84" s="37">
        <v>0</v>
      </c>
      <c r="AB84" s="37" t="s">
        <v>296</v>
      </c>
      <c r="AC84" s="37" t="s">
        <v>41</v>
      </c>
      <c r="AD84" s="37" t="s">
        <v>41</v>
      </c>
      <c r="AE84" s="37" t="s">
        <v>41</v>
      </c>
    </row>
    <row r="85" spans="1:31" x14ac:dyDescent="0.3">
      <c r="A85" s="34">
        <v>34209</v>
      </c>
      <c r="B85" s="35" t="s">
        <v>349</v>
      </c>
      <c r="C85" s="36" t="s">
        <v>254</v>
      </c>
      <c r="D85" s="34" t="str">
        <f t="shared" si="42"/>
        <v>STR_ITEM_EQUIP_N_WE_32</v>
      </c>
      <c r="E85" s="34" t="str">
        <f t="shared" si="43"/>
        <v>STR_ITEM_EQUIP_N_WE_32_DESC</v>
      </c>
      <c r="F85" s="34">
        <v>4</v>
      </c>
      <c r="G85" s="34" t="s">
        <v>46</v>
      </c>
      <c r="H85" s="34">
        <v>1</v>
      </c>
      <c r="I85" s="34">
        <v>6</v>
      </c>
      <c r="J85" s="34">
        <v>9</v>
      </c>
      <c r="K85" s="34">
        <v>0</v>
      </c>
      <c r="L85" s="34">
        <v>1400</v>
      </c>
      <c r="M85" s="34">
        <v>0</v>
      </c>
      <c r="N85" s="34">
        <v>0</v>
      </c>
      <c r="O85" s="37" t="s">
        <v>433</v>
      </c>
      <c r="P85" s="34" t="s">
        <v>44</v>
      </c>
      <c r="Q85" s="34">
        <v>0</v>
      </c>
      <c r="W85" s="34" t="b">
        <v>0</v>
      </c>
      <c r="X85" s="34">
        <v>7500000</v>
      </c>
      <c r="Y85" s="34">
        <v>0</v>
      </c>
      <c r="Z85" s="34" t="s">
        <v>41</v>
      </c>
      <c r="AA85" s="37">
        <v>0</v>
      </c>
      <c r="AB85" s="37" t="s">
        <v>294</v>
      </c>
      <c r="AC85" s="37" t="s">
        <v>41</v>
      </c>
      <c r="AD85" s="37" t="s">
        <v>41</v>
      </c>
      <c r="AE85" s="37" t="s">
        <v>41</v>
      </c>
    </row>
    <row r="86" spans="1:31" x14ac:dyDescent="0.3">
      <c r="A86" s="34">
        <v>34210</v>
      </c>
      <c r="B86" s="35" t="s">
        <v>350</v>
      </c>
      <c r="C86" s="36" t="s">
        <v>255</v>
      </c>
      <c r="D86" s="34" t="str">
        <f t="shared" si="42"/>
        <v>STR_ITEM_EQUIP_N_WE_33</v>
      </c>
      <c r="E86" s="34" t="str">
        <f t="shared" si="43"/>
        <v>STR_ITEM_EQUIP_N_WE_33_DESC</v>
      </c>
      <c r="F86" s="34">
        <v>4</v>
      </c>
      <c r="G86" s="34" t="s">
        <v>46</v>
      </c>
      <c r="H86" s="34">
        <v>1</v>
      </c>
      <c r="I86" s="34">
        <v>6</v>
      </c>
      <c r="J86" s="34">
        <v>10</v>
      </c>
      <c r="K86" s="34">
        <v>0</v>
      </c>
      <c r="L86" s="34">
        <v>1400</v>
      </c>
      <c r="M86" s="34">
        <v>0</v>
      </c>
      <c r="N86" s="34">
        <v>0</v>
      </c>
      <c r="O86" s="37" t="s">
        <v>433</v>
      </c>
      <c r="P86" s="34" t="s">
        <v>44</v>
      </c>
      <c r="Q86" s="34">
        <v>0</v>
      </c>
      <c r="W86" s="34" t="b">
        <v>0</v>
      </c>
      <c r="X86" s="34">
        <v>11250000</v>
      </c>
      <c r="Y86" s="34">
        <v>0</v>
      </c>
      <c r="Z86" s="34" t="s">
        <v>41</v>
      </c>
      <c r="AA86" s="37">
        <v>0</v>
      </c>
      <c r="AB86" s="37" t="s">
        <v>295</v>
      </c>
      <c r="AC86" s="37" t="s">
        <v>41</v>
      </c>
      <c r="AD86" s="37" t="s">
        <v>41</v>
      </c>
      <c r="AE86" s="37" t="s">
        <v>41</v>
      </c>
    </row>
    <row r="87" spans="1:31" x14ac:dyDescent="0.3">
      <c r="A87" s="34">
        <v>34211</v>
      </c>
      <c r="B87" s="35" t="s">
        <v>351</v>
      </c>
      <c r="C87" s="36" t="s">
        <v>256</v>
      </c>
      <c r="D87" s="34" t="str">
        <f t="shared" si="42"/>
        <v>STR_ITEM_EQUIP_N_WE_34</v>
      </c>
      <c r="E87" s="34" t="str">
        <f t="shared" si="43"/>
        <v>STR_ITEM_EQUIP_N_WE_34_DESC</v>
      </c>
      <c r="F87" s="34">
        <v>4</v>
      </c>
      <c r="G87" s="34" t="s">
        <v>46</v>
      </c>
      <c r="H87" s="34">
        <v>1</v>
      </c>
      <c r="I87" s="34">
        <v>6</v>
      </c>
      <c r="J87" s="34">
        <v>10</v>
      </c>
      <c r="K87" s="34">
        <v>0</v>
      </c>
      <c r="L87" s="34">
        <v>1350</v>
      </c>
      <c r="M87" s="34">
        <v>0</v>
      </c>
      <c r="N87" s="34">
        <v>0</v>
      </c>
      <c r="O87" s="37" t="s">
        <v>431</v>
      </c>
      <c r="P87" s="34" t="s">
        <v>44</v>
      </c>
      <c r="Q87" s="34">
        <v>0</v>
      </c>
      <c r="R87" s="37" t="s">
        <v>157</v>
      </c>
      <c r="S87" s="37" t="s">
        <v>158</v>
      </c>
      <c r="T87" s="37" t="s">
        <v>159</v>
      </c>
      <c r="U87" s="37" t="s">
        <v>160</v>
      </c>
      <c r="V87" s="37" t="s">
        <v>161</v>
      </c>
      <c r="W87" s="34" t="b">
        <v>0</v>
      </c>
      <c r="X87" s="34">
        <v>15000000</v>
      </c>
      <c r="Y87" s="34">
        <v>0</v>
      </c>
      <c r="Z87" s="34" t="s">
        <v>41</v>
      </c>
      <c r="AA87" s="37">
        <v>0</v>
      </c>
      <c r="AB87" s="37" t="s">
        <v>296</v>
      </c>
      <c r="AC87" s="37" t="s">
        <v>41</v>
      </c>
      <c r="AD87" s="37" t="s">
        <v>41</v>
      </c>
      <c r="AE87" s="37" t="s">
        <v>41</v>
      </c>
    </row>
    <row r="88" spans="1:31" x14ac:dyDescent="0.3">
      <c r="A88" s="34">
        <v>34400</v>
      </c>
      <c r="B88" s="35" t="s">
        <v>359</v>
      </c>
      <c r="C88" s="36" t="s">
        <v>233</v>
      </c>
      <c r="D88" s="34" t="str">
        <f t="shared" si="38"/>
        <v>STR_ITEM_EQUIP_N_WE_08</v>
      </c>
      <c r="E88" s="34" t="str">
        <f t="shared" si="39"/>
        <v>STR_ITEM_EQUIP_N_WE_08_DESC</v>
      </c>
      <c r="F88" s="34">
        <v>1</v>
      </c>
      <c r="G88" s="34" t="s">
        <v>46</v>
      </c>
      <c r="H88" s="34">
        <v>1</v>
      </c>
      <c r="I88" s="34">
        <v>2</v>
      </c>
      <c r="J88" s="34">
        <v>1</v>
      </c>
      <c r="K88" s="34">
        <v>0</v>
      </c>
      <c r="L88" s="34">
        <v>900</v>
      </c>
      <c r="M88" s="34">
        <v>0</v>
      </c>
      <c r="N88" s="34">
        <v>0</v>
      </c>
      <c r="O88" s="37" t="s">
        <v>425</v>
      </c>
      <c r="P88" s="34" t="s">
        <v>44</v>
      </c>
      <c r="Q88" s="34">
        <v>0</v>
      </c>
      <c r="W88" s="34" t="b">
        <v>0</v>
      </c>
      <c r="X88" s="34">
        <v>7500</v>
      </c>
      <c r="Y88" s="34">
        <v>0</v>
      </c>
      <c r="Z88" s="34" t="s">
        <v>41</v>
      </c>
      <c r="AA88" s="37">
        <v>0</v>
      </c>
      <c r="AB88" s="37" t="s">
        <v>297</v>
      </c>
      <c r="AC88" s="37" t="s">
        <v>41</v>
      </c>
      <c r="AD88" s="37" t="s">
        <v>41</v>
      </c>
      <c r="AE88" s="37" t="s">
        <v>41</v>
      </c>
    </row>
    <row r="89" spans="1:31" x14ac:dyDescent="0.3">
      <c r="A89" s="34">
        <v>34401</v>
      </c>
      <c r="B89" s="35" t="s">
        <v>360</v>
      </c>
      <c r="C89" s="36" t="s">
        <v>234</v>
      </c>
      <c r="D89" s="34" t="str">
        <f t="shared" si="38"/>
        <v>STR_ITEM_EQUIP_N_WE_09</v>
      </c>
      <c r="E89" s="34" t="str">
        <f t="shared" si="39"/>
        <v>STR_ITEM_EQUIP_N_WE_09_DESC</v>
      </c>
      <c r="F89" s="34">
        <v>1</v>
      </c>
      <c r="G89" s="34" t="s">
        <v>46</v>
      </c>
      <c r="H89" s="34">
        <v>1</v>
      </c>
      <c r="I89" s="34">
        <v>2</v>
      </c>
      <c r="J89" s="34">
        <v>1</v>
      </c>
      <c r="K89" s="34">
        <v>0</v>
      </c>
      <c r="L89" s="34">
        <v>800</v>
      </c>
      <c r="M89" s="34">
        <v>0</v>
      </c>
      <c r="N89" s="34">
        <v>0</v>
      </c>
      <c r="O89" s="37" t="s">
        <v>425</v>
      </c>
      <c r="P89" s="34" t="s">
        <v>44</v>
      </c>
      <c r="Q89" s="34">
        <v>0</v>
      </c>
      <c r="W89" s="34" t="b">
        <v>0</v>
      </c>
      <c r="X89" s="34">
        <v>11250</v>
      </c>
      <c r="Y89" s="34">
        <v>0</v>
      </c>
      <c r="Z89" s="34" t="s">
        <v>41</v>
      </c>
      <c r="AA89" s="37">
        <v>0</v>
      </c>
      <c r="AB89" s="37" t="s">
        <v>298</v>
      </c>
      <c r="AC89" s="37" t="s">
        <v>41</v>
      </c>
      <c r="AD89" s="37" t="s">
        <v>41</v>
      </c>
      <c r="AE89" s="37" t="s">
        <v>41</v>
      </c>
    </row>
    <row r="90" spans="1:31" x14ac:dyDescent="0.3">
      <c r="A90" s="34">
        <v>34402</v>
      </c>
      <c r="B90" s="35" t="s">
        <v>365</v>
      </c>
      <c r="C90" s="36" t="s">
        <v>235</v>
      </c>
      <c r="D90" s="34" t="str">
        <f t="shared" si="38"/>
        <v>STR_ITEM_EQUIP_N_WE_10</v>
      </c>
      <c r="E90" s="34" t="str">
        <f t="shared" si="39"/>
        <v>STR_ITEM_EQUIP_N_WE_10_DESC</v>
      </c>
      <c r="F90" s="34">
        <v>1</v>
      </c>
      <c r="G90" s="34" t="s">
        <v>46</v>
      </c>
      <c r="H90" s="34">
        <v>1</v>
      </c>
      <c r="I90" s="34">
        <v>2</v>
      </c>
      <c r="J90" s="34">
        <v>1</v>
      </c>
      <c r="K90" s="34">
        <v>0</v>
      </c>
      <c r="L90" s="34">
        <v>750</v>
      </c>
      <c r="M90" s="34">
        <v>0</v>
      </c>
      <c r="N90" s="34">
        <v>0</v>
      </c>
      <c r="O90" s="37" t="s">
        <v>425</v>
      </c>
      <c r="P90" s="34" t="s">
        <v>44</v>
      </c>
      <c r="Q90" s="34">
        <v>0</v>
      </c>
      <c r="R90" s="37" t="s">
        <v>157</v>
      </c>
      <c r="S90" s="37" t="s">
        <v>158</v>
      </c>
      <c r="T90" s="37" t="s">
        <v>159</v>
      </c>
      <c r="U90" s="37" t="s">
        <v>160</v>
      </c>
      <c r="V90" s="37" t="s">
        <v>161</v>
      </c>
      <c r="W90" s="34" t="b">
        <v>0</v>
      </c>
      <c r="X90" s="34">
        <v>15000</v>
      </c>
      <c r="Y90" s="34">
        <v>0</v>
      </c>
      <c r="Z90" s="34" t="s">
        <v>41</v>
      </c>
      <c r="AA90" s="37">
        <v>0</v>
      </c>
      <c r="AB90" s="37" t="s">
        <v>299</v>
      </c>
      <c r="AC90" s="37" t="s">
        <v>41</v>
      </c>
      <c r="AD90" s="37" t="s">
        <v>41</v>
      </c>
      <c r="AE90" s="37" t="s">
        <v>41</v>
      </c>
    </row>
    <row r="91" spans="1:31" x14ac:dyDescent="0.3">
      <c r="A91" s="34">
        <v>34403</v>
      </c>
      <c r="B91" s="35" t="s">
        <v>361</v>
      </c>
      <c r="C91" s="36" t="s">
        <v>241</v>
      </c>
      <c r="D91" s="34" t="str">
        <f t="shared" si="38"/>
        <v>STR_ITEM_EQUIP_N_WE_17</v>
      </c>
      <c r="E91" s="34" t="str">
        <f t="shared" si="39"/>
        <v>STR_ITEM_EQUIP_N_WE_17_DESC</v>
      </c>
      <c r="F91" s="34">
        <v>2</v>
      </c>
      <c r="G91" s="34" t="s">
        <v>46</v>
      </c>
      <c r="H91" s="34">
        <v>1</v>
      </c>
      <c r="I91" s="34">
        <v>3</v>
      </c>
      <c r="J91" s="34">
        <v>2</v>
      </c>
      <c r="K91" s="34">
        <v>0</v>
      </c>
      <c r="L91" s="34">
        <v>900</v>
      </c>
      <c r="M91" s="34">
        <v>0</v>
      </c>
      <c r="N91" s="34">
        <v>0</v>
      </c>
      <c r="O91" s="37" t="s">
        <v>425</v>
      </c>
      <c r="P91" s="34" t="s">
        <v>44</v>
      </c>
      <c r="Q91" s="34">
        <v>0</v>
      </c>
      <c r="W91" s="34" t="b">
        <v>0</v>
      </c>
      <c r="X91" s="34">
        <v>75000</v>
      </c>
      <c r="Y91" s="34">
        <v>0</v>
      </c>
      <c r="Z91" s="34" t="s">
        <v>41</v>
      </c>
      <c r="AA91" s="37">
        <v>0</v>
      </c>
      <c r="AB91" s="37" t="s">
        <v>297</v>
      </c>
      <c r="AC91" s="37" t="s">
        <v>41</v>
      </c>
      <c r="AD91" s="37" t="s">
        <v>41</v>
      </c>
      <c r="AE91" s="37" t="s">
        <v>41</v>
      </c>
    </row>
    <row r="92" spans="1:31" x14ac:dyDescent="0.3">
      <c r="A92" s="34">
        <v>34404</v>
      </c>
      <c r="B92" s="35" t="s">
        <v>362</v>
      </c>
      <c r="C92" s="36" t="s">
        <v>242</v>
      </c>
      <c r="D92" s="34" t="str">
        <f t="shared" si="38"/>
        <v>STR_ITEM_EQUIP_N_WE_18</v>
      </c>
      <c r="E92" s="34" t="str">
        <f t="shared" si="39"/>
        <v>STR_ITEM_EQUIP_N_WE_18_DESC</v>
      </c>
      <c r="F92" s="34">
        <v>2</v>
      </c>
      <c r="G92" s="34" t="s">
        <v>46</v>
      </c>
      <c r="H92" s="34">
        <v>1</v>
      </c>
      <c r="I92" s="34">
        <v>3</v>
      </c>
      <c r="J92" s="34">
        <v>2</v>
      </c>
      <c r="K92" s="34">
        <v>0</v>
      </c>
      <c r="L92" s="34">
        <v>800</v>
      </c>
      <c r="M92" s="34">
        <v>0</v>
      </c>
      <c r="N92" s="34">
        <v>0</v>
      </c>
      <c r="O92" s="37" t="s">
        <v>425</v>
      </c>
      <c r="P92" s="34" t="s">
        <v>44</v>
      </c>
      <c r="Q92" s="34">
        <v>0</v>
      </c>
      <c r="W92" s="34" t="b">
        <v>0</v>
      </c>
      <c r="X92" s="34">
        <v>112500</v>
      </c>
      <c r="Y92" s="34">
        <v>0</v>
      </c>
      <c r="Z92" s="34" t="s">
        <v>41</v>
      </c>
      <c r="AA92" s="37">
        <v>0</v>
      </c>
      <c r="AB92" s="37" t="s">
        <v>298</v>
      </c>
      <c r="AC92" s="37" t="s">
        <v>41</v>
      </c>
      <c r="AD92" s="37" t="s">
        <v>41</v>
      </c>
      <c r="AE92" s="37" t="s">
        <v>41</v>
      </c>
    </row>
    <row r="93" spans="1:31" x14ac:dyDescent="0.3">
      <c r="A93" s="34">
        <v>34405</v>
      </c>
      <c r="B93" s="35" t="s">
        <v>366</v>
      </c>
      <c r="C93" s="36" t="s">
        <v>243</v>
      </c>
      <c r="D93" s="34" t="str">
        <f t="shared" si="38"/>
        <v>STR_ITEM_EQUIP_N_WE_19</v>
      </c>
      <c r="E93" s="34" t="str">
        <f t="shared" si="39"/>
        <v>STR_ITEM_EQUIP_N_WE_19_DESC</v>
      </c>
      <c r="F93" s="34">
        <v>2</v>
      </c>
      <c r="G93" s="34" t="s">
        <v>46</v>
      </c>
      <c r="H93" s="34">
        <v>1</v>
      </c>
      <c r="I93" s="34">
        <v>3</v>
      </c>
      <c r="J93" s="34">
        <v>2</v>
      </c>
      <c r="K93" s="34">
        <v>0</v>
      </c>
      <c r="L93" s="34">
        <v>750</v>
      </c>
      <c r="M93" s="34">
        <v>0</v>
      </c>
      <c r="N93" s="34">
        <v>0</v>
      </c>
      <c r="O93" s="37" t="s">
        <v>428</v>
      </c>
      <c r="P93" s="34" t="s">
        <v>44</v>
      </c>
      <c r="Q93" s="34">
        <v>0</v>
      </c>
      <c r="R93" s="37" t="s">
        <v>157</v>
      </c>
      <c r="S93" s="37" t="s">
        <v>158</v>
      </c>
      <c r="T93" s="37" t="s">
        <v>159</v>
      </c>
      <c r="U93" s="37" t="s">
        <v>160</v>
      </c>
      <c r="V93" s="37" t="s">
        <v>161</v>
      </c>
      <c r="W93" s="34" t="b">
        <v>0</v>
      </c>
      <c r="X93" s="34">
        <v>150000</v>
      </c>
      <c r="Y93" s="34">
        <v>0</v>
      </c>
      <c r="Z93" s="34" t="s">
        <v>41</v>
      </c>
      <c r="AA93" s="37">
        <v>0</v>
      </c>
      <c r="AB93" s="37" t="s">
        <v>299</v>
      </c>
      <c r="AC93" s="37" t="s">
        <v>41</v>
      </c>
      <c r="AD93" s="37" t="s">
        <v>41</v>
      </c>
      <c r="AE93" s="37" t="s">
        <v>41</v>
      </c>
    </row>
    <row r="94" spans="1:31" x14ac:dyDescent="0.3">
      <c r="A94" s="34">
        <v>34406</v>
      </c>
      <c r="B94" s="35" t="s">
        <v>363</v>
      </c>
      <c r="C94" s="36" t="s">
        <v>249</v>
      </c>
      <c r="D94" s="34" t="str">
        <f t="shared" si="38"/>
        <v>STR_ITEM_EQUIP_N_WE_26</v>
      </c>
      <c r="E94" s="34" t="str">
        <f t="shared" si="39"/>
        <v>STR_ITEM_EQUIP_N_WE_26_DESC</v>
      </c>
      <c r="F94" s="34">
        <v>3</v>
      </c>
      <c r="G94" s="34" t="s">
        <v>46</v>
      </c>
      <c r="H94" s="34">
        <v>1</v>
      </c>
      <c r="I94" s="34">
        <v>5</v>
      </c>
      <c r="J94" s="34">
        <v>3</v>
      </c>
      <c r="K94" s="34">
        <v>0</v>
      </c>
      <c r="L94" s="34">
        <v>900</v>
      </c>
      <c r="M94" s="34">
        <v>0</v>
      </c>
      <c r="N94" s="34">
        <v>0</v>
      </c>
      <c r="O94" s="37" t="s">
        <v>425</v>
      </c>
      <c r="P94" s="34" t="s">
        <v>44</v>
      </c>
      <c r="Q94" s="34">
        <v>0</v>
      </c>
      <c r="W94" s="34" t="b">
        <v>0</v>
      </c>
      <c r="X94" s="34">
        <v>750000</v>
      </c>
      <c r="Y94" s="34">
        <v>0</v>
      </c>
      <c r="Z94" s="34" t="s">
        <v>41</v>
      </c>
      <c r="AA94" s="37">
        <v>0</v>
      </c>
      <c r="AB94" s="37" t="s">
        <v>297</v>
      </c>
      <c r="AC94" s="37" t="s">
        <v>41</v>
      </c>
      <c r="AD94" s="37" t="s">
        <v>41</v>
      </c>
      <c r="AE94" s="37" t="s">
        <v>41</v>
      </c>
    </row>
    <row r="95" spans="1:31" x14ac:dyDescent="0.3">
      <c r="A95" s="34">
        <v>34407</v>
      </c>
      <c r="B95" s="35" t="s">
        <v>364</v>
      </c>
      <c r="C95" s="36" t="s">
        <v>250</v>
      </c>
      <c r="D95" s="34" t="str">
        <f t="shared" si="38"/>
        <v>STR_ITEM_EQUIP_N_WE_27</v>
      </c>
      <c r="E95" s="34" t="str">
        <f t="shared" si="39"/>
        <v>STR_ITEM_EQUIP_N_WE_27_DESC</v>
      </c>
      <c r="F95" s="34">
        <v>3</v>
      </c>
      <c r="G95" s="34" t="s">
        <v>46</v>
      </c>
      <c r="H95" s="34">
        <v>1</v>
      </c>
      <c r="I95" s="34">
        <v>5</v>
      </c>
      <c r="J95" s="34">
        <v>3</v>
      </c>
      <c r="K95" s="34">
        <v>0</v>
      </c>
      <c r="L95" s="34">
        <v>800</v>
      </c>
      <c r="M95" s="34">
        <v>0</v>
      </c>
      <c r="N95" s="34">
        <v>0</v>
      </c>
      <c r="O95" s="37" t="s">
        <v>428</v>
      </c>
      <c r="P95" s="34" t="s">
        <v>44</v>
      </c>
      <c r="Q95" s="34">
        <v>0</v>
      </c>
      <c r="W95" s="34" t="b">
        <v>0</v>
      </c>
      <c r="X95" s="34">
        <v>1125000</v>
      </c>
      <c r="Y95" s="34">
        <v>0</v>
      </c>
      <c r="Z95" s="34" t="s">
        <v>41</v>
      </c>
      <c r="AA95" s="37">
        <v>0</v>
      </c>
      <c r="AB95" s="37" t="s">
        <v>298</v>
      </c>
      <c r="AC95" s="37" t="s">
        <v>41</v>
      </c>
      <c r="AD95" s="37" t="s">
        <v>41</v>
      </c>
      <c r="AE95" s="37" t="s">
        <v>41</v>
      </c>
    </row>
    <row r="96" spans="1:31" x14ac:dyDescent="0.3">
      <c r="A96" s="34">
        <v>34408</v>
      </c>
      <c r="B96" s="35" t="s">
        <v>374</v>
      </c>
      <c r="C96" s="36" t="s">
        <v>251</v>
      </c>
      <c r="D96" s="34" t="str">
        <f t="shared" si="38"/>
        <v>STR_ITEM_EQUIP_N_WE_28</v>
      </c>
      <c r="E96" s="34" t="str">
        <f t="shared" si="39"/>
        <v>STR_ITEM_EQUIP_N_WE_28_DESC</v>
      </c>
      <c r="F96" s="34">
        <v>3</v>
      </c>
      <c r="G96" s="34" t="s">
        <v>46</v>
      </c>
      <c r="H96" s="34">
        <v>1</v>
      </c>
      <c r="I96" s="34">
        <v>5</v>
      </c>
      <c r="J96" s="34">
        <v>3</v>
      </c>
      <c r="K96" s="34">
        <v>0</v>
      </c>
      <c r="L96" s="34">
        <v>750</v>
      </c>
      <c r="M96" s="34">
        <v>0</v>
      </c>
      <c r="N96" s="34">
        <v>0</v>
      </c>
      <c r="O96" s="37" t="s">
        <v>428</v>
      </c>
      <c r="P96" s="34" t="s">
        <v>44</v>
      </c>
      <c r="Q96" s="34">
        <v>0</v>
      </c>
      <c r="R96" s="37" t="s">
        <v>157</v>
      </c>
      <c r="S96" s="37" t="s">
        <v>158</v>
      </c>
      <c r="T96" s="37" t="s">
        <v>159</v>
      </c>
      <c r="U96" s="37" t="s">
        <v>160</v>
      </c>
      <c r="V96" s="37" t="s">
        <v>161</v>
      </c>
      <c r="W96" s="34" t="b">
        <v>0</v>
      </c>
      <c r="X96" s="34">
        <v>1500000</v>
      </c>
      <c r="Y96" s="34">
        <v>0</v>
      </c>
      <c r="Z96" s="34" t="s">
        <v>41</v>
      </c>
      <c r="AA96" s="37">
        <v>0</v>
      </c>
      <c r="AB96" s="37" t="s">
        <v>299</v>
      </c>
      <c r="AC96" s="37" t="s">
        <v>41</v>
      </c>
      <c r="AD96" s="37" t="s">
        <v>41</v>
      </c>
      <c r="AE96" s="37" t="s">
        <v>41</v>
      </c>
    </row>
    <row r="97" spans="1:31" x14ac:dyDescent="0.3">
      <c r="A97" s="34">
        <v>34409</v>
      </c>
      <c r="B97" s="35" t="s">
        <v>369</v>
      </c>
      <c r="C97" s="36" t="s">
        <v>257</v>
      </c>
      <c r="D97" s="34" t="str">
        <f t="shared" si="38"/>
        <v>STR_ITEM_EQUIP_N_WE_35</v>
      </c>
      <c r="E97" s="34" t="str">
        <f t="shared" si="39"/>
        <v>STR_ITEM_EQUIP_N_WE_35_DESC</v>
      </c>
      <c r="F97" s="34">
        <v>4</v>
      </c>
      <c r="G97" s="34" t="s">
        <v>46</v>
      </c>
      <c r="H97" s="34">
        <v>1</v>
      </c>
      <c r="I97" s="34">
        <v>6</v>
      </c>
      <c r="J97" s="34">
        <v>4</v>
      </c>
      <c r="K97" s="34">
        <v>0</v>
      </c>
      <c r="L97" s="34">
        <v>900</v>
      </c>
      <c r="M97" s="34">
        <v>0</v>
      </c>
      <c r="N97" s="34">
        <v>0</v>
      </c>
      <c r="O97" s="37" t="s">
        <v>425</v>
      </c>
      <c r="P97" s="34" t="s">
        <v>44</v>
      </c>
      <c r="Q97" s="34">
        <v>0</v>
      </c>
      <c r="W97" s="34" t="b">
        <v>0</v>
      </c>
      <c r="X97" s="34">
        <v>7500000</v>
      </c>
      <c r="Y97" s="34">
        <v>0</v>
      </c>
      <c r="Z97" s="34" t="s">
        <v>41</v>
      </c>
      <c r="AA97" s="37">
        <v>0</v>
      </c>
      <c r="AB97" s="37" t="s">
        <v>297</v>
      </c>
      <c r="AC97" s="37" t="s">
        <v>41</v>
      </c>
      <c r="AD97" s="37" t="s">
        <v>41</v>
      </c>
      <c r="AE97" s="37" t="s">
        <v>41</v>
      </c>
    </row>
    <row r="98" spans="1:31" x14ac:dyDescent="0.3">
      <c r="A98" s="34">
        <v>34410</v>
      </c>
      <c r="B98" s="35" t="s">
        <v>367</v>
      </c>
      <c r="C98" s="36" t="s">
        <v>258</v>
      </c>
      <c r="D98" s="34" t="str">
        <f t="shared" si="38"/>
        <v>STR_ITEM_EQUIP_N_WE_36</v>
      </c>
      <c r="E98" s="34" t="str">
        <f t="shared" si="39"/>
        <v>STR_ITEM_EQUIP_N_WE_36_DESC</v>
      </c>
      <c r="F98" s="34">
        <v>4</v>
      </c>
      <c r="G98" s="34" t="s">
        <v>46</v>
      </c>
      <c r="H98" s="34">
        <v>1</v>
      </c>
      <c r="I98" s="34">
        <v>6</v>
      </c>
      <c r="J98" s="34">
        <v>4</v>
      </c>
      <c r="K98" s="34">
        <v>0</v>
      </c>
      <c r="L98" s="34">
        <v>800</v>
      </c>
      <c r="M98" s="34">
        <v>0</v>
      </c>
      <c r="N98" s="34">
        <v>0</v>
      </c>
      <c r="O98" s="37" t="s">
        <v>428</v>
      </c>
      <c r="P98" s="34" t="s">
        <v>44</v>
      </c>
      <c r="Q98" s="34">
        <v>0</v>
      </c>
      <c r="W98" s="34" t="b">
        <v>0</v>
      </c>
      <c r="X98" s="34">
        <v>11250000</v>
      </c>
      <c r="Y98" s="34">
        <v>0</v>
      </c>
      <c r="Z98" s="34" t="s">
        <v>41</v>
      </c>
      <c r="AA98" s="37">
        <v>0</v>
      </c>
      <c r="AB98" s="37" t="s">
        <v>298</v>
      </c>
      <c r="AC98" s="37" t="s">
        <v>41</v>
      </c>
      <c r="AD98" s="37" t="s">
        <v>41</v>
      </c>
      <c r="AE98" s="37" t="s">
        <v>41</v>
      </c>
    </row>
    <row r="99" spans="1:31" x14ac:dyDescent="0.3">
      <c r="A99" s="34">
        <v>34411</v>
      </c>
      <c r="B99" s="35" t="s">
        <v>368</v>
      </c>
      <c r="C99" s="36" t="s">
        <v>259</v>
      </c>
      <c r="D99" s="34" t="str">
        <f t="shared" si="38"/>
        <v>STR_ITEM_EQUIP_N_WE_37</v>
      </c>
      <c r="E99" s="34" t="str">
        <f t="shared" si="39"/>
        <v>STR_ITEM_EQUIP_N_WE_37_DESC</v>
      </c>
      <c r="F99" s="34">
        <v>4</v>
      </c>
      <c r="G99" s="34" t="s">
        <v>46</v>
      </c>
      <c r="H99" s="34">
        <v>1</v>
      </c>
      <c r="I99" s="34">
        <v>6</v>
      </c>
      <c r="J99" s="34">
        <v>4</v>
      </c>
      <c r="K99" s="34">
        <v>0</v>
      </c>
      <c r="L99" s="34">
        <v>750</v>
      </c>
      <c r="M99" s="34">
        <v>0</v>
      </c>
      <c r="N99" s="34">
        <v>0</v>
      </c>
      <c r="O99" s="37" t="s">
        <v>432</v>
      </c>
      <c r="P99" s="34" t="s">
        <v>44</v>
      </c>
      <c r="Q99" s="34">
        <v>0</v>
      </c>
      <c r="R99" s="37" t="s">
        <v>157</v>
      </c>
      <c r="S99" s="37" t="s">
        <v>158</v>
      </c>
      <c r="T99" s="37" t="s">
        <v>159</v>
      </c>
      <c r="U99" s="37" t="s">
        <v>160</v>
      </c>
      <c r="V99" s="37" t="s">
        <v>161</v>
      </c>
      <c r="W99" s="34" t="b">
        <v>0</v>
      </c>
      <c r="X99" s="34">
        <v>15000000</v>
      </c>
      <c r="Y99" s="34">
        <v>0</v>
      </c>
      <c r="Z99" s="34" t="s">
        <v>41</v>
      </c>
      <c r="AA99" s="37">
        <v>0</v>
      </c>
      <c r="AB99" s="37" t="s">
        <v>299</v>
      </c>
      <c r="AC99" s="37" t="s">
        <v>41</v>
      </c>
      <c r="AD99" s="37" t="s">
        <v>41</v>
      </c>
      <c r="AE99" s="37" t="s">
        <v>41</v>
      </c>
    </row>
    <row r="100" spans="1:31" x14ac:dyDescent="0.3">
      <c r="A100" s="39">
        <v>35000</v>
      </c>
      <c r="B100" s="40" t="s">
        <v>167</v>
      </c>
      <c r="C100" s="41" t="s">
        <v>111</v>
      </c>
      <c r="D100" s="39" t="str">
        <f t="shared" ref="D100:D114" si="44">"STR_"&amp;UPPER(C100)</f>
        <v>STR_ITEM_BOX_01</v>
      </c>
      <c r="E100" s="39" t="str">
        <f t="shared" ref="E100:E114" si="45">D100&amp;"_DESC"</f>
        <v>STR_ITEM_BOX_01_DESC</v>
      </c>
      <c r="F100" s="39">
        <v>0</v>
      </c>
      <c r="G100" s="39" t="s">
        <v>50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/>
      <c r="P100" s="39" t="s">
        <v>408</v>
      </c>
      <c r="Q100" s="39">
        <v>1</v>
      </c>
      <c r="R100" s="39"/>
      <c r="S100" s="39"/>
      <c r="T100" s="39"/>
      <c r="U100" s="39"/>
      <c r="V100" s="39"/>
      <c r="W100" s="39" t="b">
        <v>1</v>
      </c>
      <c r="X100" s="39">
        <v>100000</v>
      </c>
      <c r="Y100" s="39">
        <v>2</v>
      </c>
      <c r="Z100" s="39" t="s">
        <v>41</v>
      </c>
      <c r="AA100" s="39">
        <v>0</v>
      </c>
      <c r="AB100" s="39" t="s">
        <v>125</v>
      </c>
      <c r="AC100" s="39" t="s">
        <v>120</v>
      </c>
      <c r="AD100" s="39"/>
      <c r="AE100" s="39"/>
    </row>
    <row r="101" spans="1:31" x14ac:dyDescent="0.3">
      <c r="A101" s="39">
        <v>35001</v>
      </c>
      <c r="B101" s="40" t="s">
        <v>396</v>
      </c>
      <c r="C101" s="41" t="s">
        <v>397</v>
      </c>
      <c r="D101" s="39" t="str">
        <f t="shared" ref="D101:D102" si="46">"STR_"&amp;UPPER(C101)</f>
        <v>STR_ITEM_BOX_02</v>
      </c>
      <c r="E101" s="39" t="str">
        <f t="shared" ref="E101:E102" si="47">D101&amp;"_DESC"</f>
        <v>STR_ITEM_BOX_02_DESC</v>
      </c>
      <c r="F101" s="39">
        <v>1</v>
      </c>
      <c r="G101" s="39" t="s">
        <v>50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/>
      <c r="P101" s="39" t="s">
        <v>408</v>
      </c>
      <c r="Q101" s="39">
        <v>1</v>
      </c>
      <c r="R101" s="39"/>
      <c r="S101" s="39"/>
      <c r="T101" s="39"/>
      <c r="U101" s="39"/>
      <c r="V101" s="39"/>
      <c r="W101" s="39" t="b">
        <v>1</v>
      </c>
      <c r="X101" s="39">
        <v>10</v>
      </c>
      <c r="Y101" s="39">
        <v>2</v>
      </c>
      <c r="Z101" s="39" t="s">
        <v>41</v>
      </c>
      <c r="AA101" s="39">
        <v>0</v>
      </c>
      <c r="AB101" s="39" t="s">
        <v>125</v>
      </c>
      <c r="AC101" s="39" t="s">
        <v>398</v>
      </c>
      <c r="AD101" s="39"/>
      <c r="AE101" s="39"/>
    </row>
    <row r="102" spans="1:31" x14ac:dyDescent="0.3">
      <c r="A102" s="39">
        <v>35002</v>
      </c>
      <c r="B102" s="40" t="s">
        <v>400</v>
      </c>
      <c r="C102" s="41" t="s">
        <v>401</v>
      </c>
      <c r="D102" s="39" t="str">
        <f t="shared" si="46"/>
        <v>STR_ITEM_BOX_03</v>
      </c>
      <c r="E102" s="39" t="str">
        <f t="shared" si="47"/>
        <v>STR_ITEM_BOX_03_DESC</v>
      </c>
      <c r="F102" s="39">
        <v>1</v>
      </c>
      <c r="G102" s="39" t="s">
        <v>50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/>
      <c r="P102" s="39" t="s">
        <v>408</v>
      </c>
      <c r="Q102" s="39">
        <v>1</v>
      </c>
      <c r="R102" s="39"/>
      <c r="S102" s="39"/>
      <c r="T102" s="39"/>
      <c r="U102" s="39"/>
      <c r="V102" s="39"/>
      <c r="W102" s="39" t="b">
        <v>1</v>
      </c>
      <c r="X102" s="39">
        <v>10</v>
      </c>
      <c r="Y102" s="39">
        <v>2</v>
      </c>
      <c r="Z102" s="39" t="s">
        <v>41</v>
      </c>
      <c r="AA102" s="39">
        <v>0</v>
      </c>
      <c r="AB102" s="39" t="s">
        <v>125</v>
      </c>
      <c r="AC102" s="39" t="s">
        <v>399</v>
      </c>
      <c r="AD102" s="39"/>
      <c r="AE102" s="39"/>
    </row>
    <row r="103" spans="1:31" x14ac:dyDescent="0.3">
      <c r="A103" s="39">
        <v>35003</v>
      </c>
      <c r="B103" s="40" t="s">
        <v>402</v>
      </c>
      <c r="C103" s="41" t="s">
        <v>403</v>
      </c>
      <c r="D103" s="39" t="str">
        <f t="shared" ref="D103:D107" si="48">"STR_"&amp;UPPER(C103)</f>
        <v>STR_ITEM_BOX_04</v>
      </c>
      <c r="E103" s="39" t="str">
        <f t="shared" ref="E103:E107" si="49">D103&amp;"_DESC"</f>
        <v>STR_ITEM_BOX_04_DESC</v>
      </c>
      <c r="F103" s="39">
        <v>2</v>
      </c>
      <c r="G103" s="39" t="s">
        <v>50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/>
      <c r="P103" s="39" t="s">
        <v>408</v>
      </c>
      <c r="Q103" s="39">
        <v>1</v>
      </c>
      <c r="R103" s="39"/>
      <c r="S103" s="39"/>
      <c r="T103" s="39"/>
      <c r="U103" s="39"/>
      <c r="V103" s="39"/>
      <c r="W103" s="39" t="b">
        <v>1</v>
      </c>
      <c r="X103" s="39">
        <v>10</v>
      </c>
      <c r="Y103" s="39">
        <v>2</v>
      </c>
      <c r="Z103" s="39" t="s">
        <v>41</v>
      </c>
      <c r="AA103" s="39">
        <v>0</v>
      </c>
      <c r="AB103" s="39" t="s">
        <v>125</v>
      </c>
      <c r="AC103" s="39" t="s">
        <v>404</v>
      </c>
      <c r="AD103" s="39"/>
      <c r="AE103" s="39"/>
    </row>
    <row r="104" spans="1:31" x14ac:dyDescent="0.3">
      <c r="A104" s="39">
        <v>35004</v>
      </c>
      <c r="B104" s="40" t="s">
        <v>412</v>
      </c>
      <c r="C104" s="41" t="s">
        <v>415</v>
      </c>
      <c r="D104" s="39" t="str">
        <f t="shared" si="48"/>
        <v>STR_ITEM_BOX_05</v>
      </c>
      <c r="E104" s="39" t="str">
        <f t="shared" si="49"/>
        <v>STR_ITEM_BOX_05_DESC</v>
      </c>
      <c r="F104" s="39">
        <v>2</v>
      </c>
      <c r="G104" s="39" t="s">
        <v>50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/>
      <c r="P104" s="39" t="s">
        <v>408</v>
      </c>
      <c r="Q104" s="39">
        <v>1</v>
      </c>
      <c r="R104" s="39"/>
      <c r="S104" s="39"/>
      <c r="T104" s="39"/>
      <c r="U104" s="39"/>
      <c r="V104" s="39"/>
      <c r="W104" s="39" t="b">
        <v>1</v>
      </c>
      <c r="X104" s="39">
        <v>100000</v>
      </c>
      <c r="Y104" s="39">
        <v>2</v>
      </c>
      <c r="Z104" s="39" t="s">
        <v>418</v>
      </c>
      <c r="AA104" s="39">
        <v>1</v>
      </c>
      <c r="AB104" s="39" t="s">
        <v>125</v>
      </c>
      <c r="AC104" s="39" t="s">
        <v>120</v>
      </c>
      <c r="AD104" s="39"/>
      <c r="AE104" s="39"/>
    </row>
    <row r="105" spans="1:31" x14ac:dyDescent="0.3">
      <c r="A105" s="39">
        <v>35005</v>
      </c>
      <c r="B105" s="40" t="s">
        <v>413</v>
      </c>
      <c r="C105" s="41" t="s">
        <v>416</v>
      </c>
      <c r="D105" s="39" t="str">
        <f t="shared" ref="D105" si="50">"STR_"&amp;UPPER(C105)</f>
        <v>STR_ITEM_BOX_06</v>
      </c>
      <c r="E105" s="39" t="str">
        <f t="shared" ref="E105" si="51">D105&amp;"_DESC"</f>
        <v>STR_ITEM_BOX_06_DESC</v>
      </c>
      <c r="F105" s="39">
        <v>3</v>
      </c>
      <c r="G105" s="39" t="s">
        <v>50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/>
      <c r="P105" s="39" t="s">
        <v>408</v>
      </c>
      <c r="Q105" s="39">
        <v>1</v>
      </c>
      <c r="R105" s="39"/>
      <c r="S105" s="39"/>
      <c r="T105" s="39"/>
      <c r="U105" s="39"/>
      <c r="V105" s="39"/>
      <c r="W105" s="39" t="b">
        <v>1</v>
      </c>
      <c r="X105" s="39">
        <v>100000</v>
      </c>
      <c r="Y105" s="39">
        <v>2</v>
      </c>
      <c r="Z105" s="39" t="s">
        <v>110</v>
      </c>
      <c r="AA105" s="39">
        <v>1</v>
      </c>
      <c r="AB105" s="39" t="s">
        <v>125</v>
      </c>
      <c r="AC105" s="39" t="s">
        <v>120</v>
      </c>
      <c r="AD105" s="39"/>
      <c r="AE105" s="39"/>
    </row>
    <row r="106" spans="1:31" x14ac:dyDescent="0.3">
      <c r="A106" s="39">
        <v>35006</v>
      </c>
      <c r="B106" s="40" t="s">
        <v>414</v>
      </c>
      <c r="C106" s="41" t="s">
        <v>417</v>
      </c>
      <c r="D106" s="39" t="str">
        <f t="shared" si="48"/>
        <v>STR_ITEM_BOX_07</v>
      </c>
      <c r="E106" s="39" t="str">
        <f t="shared" si="49"/>
        <v>STR_ITEM_BOX_07_DESC</v>
      </c>
      <c r="F106" s="39">
        <v>4</v>
      </c>
      <c r="G106" s="39" t="s">
        <v>50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/>
      <c r="P106" s="39" t="s">
        <v>408</v>
      </c>
      <c r="Q106" s="39">
        <v>1</v>
      </c>
      <c r="R106" s="39"/>
      <c r="S106" s="39"/>
      <c r="T106" s="39"/>
      <c r="U106" s="39"/>
      <c r="V106" s="39"/>
      <c r="W106" s="39" t="b">
        <v>1</v>
      </c>
      <c r="X106" s="39">
        <v>100000</v>
      </c>
      <c r="Y106" s="39">
        <v>2</v>
      </c>
      <c r="Z106" s="39" t="s">
        <v>411</v>
      </c>
      <c r="AA106" s="39">
        <v>1</v>
      </c>
      <c r="AB106" s="39" t="s">
        <v>125</v>
      </c>
      <c r="AC106" s="39" t="s">
        <v>120</v>
      </c>
      <c r="AD106" s="39"/>
      <c r="AE106" s="39"/>
    </row>
    <row r="107" spans="1:31" x14ac:dyDescent="0.3">
      <c r="A107" s="39">
        <v>35007</v>
      </c>
      <c r="B107" s="40" t="s">
        <v>435</v>
      </c>
      <c r="C107" s="41" t="s">
        <v>436</v>
      </c>
      <c r="D107" s="39" t="str">
        <f t="shared" si="48"/>
        <v>STR_ITEM_BOX_08</v>
      </c>
      <c r="E107" s="39" t="str">
        <f t="shared" si="49"/>
        <v>STR_ITEM_BOX_08_DESC</v>
      </c>
      <c r="F107" s="39">
        <v>4</v>
      </c>
      <c r="G107" s="39" t="s">
        <v>50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/>
      <c r="P107" s="39" t="s">
        <v>408</v>
      </c>
      <c r="Q107" s="39">
        <v>1</v>
      </c>
      <c r="R107" s="39"/>
      <c r="S107" s="39"/>
      <c r="T107" s="39"/>
      <c r="U107" s="39"/>
      <c r="V107" s="39"/>
      <c r="W107" s="39" t="b">
        <v>1</v>
      </c>
      <c r="X107" s="39">
        <v>10</v>
      </c>
      <c r="Y107" s="39">
        <v>125</v>
      </c>
      <c r="Z107" s="39" t="s">
        <v>41</v>
      </c>
      <c r="AA107" s="39">
        <v>0</v>
      </c>
      <c r="AB107" s="39" t="s">
        <v>125</v>
      </c>
      <c r="AC107" s="39" t="s">
        <v>441</v>
      </c>
      <c r="AD107" s="39"/>
      <c r="AE107" s="39"/>
    </row>
    <row r="108" spans="1:31" x14ac:dyDescent="0.3">
      <c r="A108" s="39">
        <v>35008</v>
      </c>
      <c r="B108" s="40" t="s">
        <v>456</v>
      </c>
      <c r="C108" s="41" t="s">
        <v>457</v>
      </c>
      <c r="D108" s="39" t="str">
        <f t="shared" ref="D108" si="52">"STR_"&amp;UPPER(C108)</f>
        <v>STR_ITEM_BOX_09</v>
      </c>
      <c r="E108" s="39" t="str">
        <f t="shared" ref="E108" si="53">D108&amp;"_DESC"</f>
        <v>STR_ITEM_BOX_09_DESC</v>
      </c>
      <c r="F108" s="39">
        <v>4</v>
      </c>
      <c r="G108" s="39" t="s">
        <v>50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/>
      <c r="P108" s="39" t="s">
        <v>408</v>
      </c>
      <c r="Q108" s="39">
        <v>1</v>
      </c>
      <c r="R108" s="39"/>
      <c r="S108" s="39"/>
      <c r="T108" s="39"/>
      <c r="U108" s="39"/>
      <c r="V108" s="39"/>
      <c r="W108" s="39" t="b">
        <v>1</v>
      </c>
      <c r="X108" s="39">
        <v>10</v>
      </c>
      <c r="Y108" s="39">
        <v>50</v>
      </c>
      <c r="Z108" s="39" t="s">
        <v>41</v>
      </c>
      <c r="AA108" s="39">
        <v>0</v>
      </c>
      <c r="AB108" s="39" t="s">
        <v>125</v>
      </c>
      <c r="AC108" s="39" t="s">
        <v>458</v>
      </c>
      <c r="AD108" s="39"/>
      <c r="AE108" s="39"/>
    </row>
    <row r="109" spans="1:31" x14ac:dyDescent="0.3">
      <c r="A109" s="34">
        <v>36000</v>
      </c>
      <c r="B109" s="35" t="s">
        <v>168</v>
      </c>
      <c r="C109" s="36" t="s">
        <v>109</v>
      </c>
      <c r="D109" s="34" t="str">
        <f t="shared" si="44"/>
        <v>STR_ITEM_KEY_01</v>
      </c>
      <c r="E109" s="34" t="str">
        <f t="shared" si="45"/>
        <v>STR_ITEM_KEY_01_DESC</v>
      </c>
      <c r="F109" s="34">
        <v>0</v>
      </c>
      <c r="G109" s="34" t="s">
        <v>52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P109" s="34" t="s">
        <v>44</v>
      </c>
      <c r="Q109" s="34">
        <v>0</v>
      </c>
      <c r="R109" s="37" t="s">
        <v>41</v>
      </c>
      <c r="U109" s="37" t="s">
        <v>41</v>
      </c>
      <c r="V109" s="37" t="s">
        <v>41</v>
      </c>
      <c r="W109" s="34" t="b">
        <v>1</v>
      </c>
      <c r="X109" s="34">
        <v>1000</v>
      </c>
      <c r="Y109" s="34">
        <v>0</v>
      </c>
      <c r="Z109" s="34" t="s">
        <v>41</v>
      </c>
      <c r="AA109" s="37">
        <v>0</v>
      </c>
      <c r="AB109" s="37" t="s">
        <v>300</v>
      </c>
      <c r="AC109" s="37" t="s">
        <v>41</v>
      </c>
      <c r="AD109" s="37" t="s">
        <v>41</v>
      </c>
      <c r="AE109" s="37" t="s">
        <v>41</v>
      </c>
    </row>
    <row r="110" spans="1:31" x14ac:dyDescent="0.3">
      <c r="A110" s="34">
        <v>36001</v>
      </c>
      <c r="B110" s="35" t="s">
        <v>169</v>
      </c>
      <c r="C110" s="36" t="s">
        <v>110</v>
      </c>
      <c r="D110" s="34" t="str">
        <f t="shared" si="44"/>
        <v>STR_ITEM_KEY_02</v>
      </c>
      <c r="E110" s="34" t="str">
        <f t="shared" si="45"/>
        <v>STR_ITEM_KEY_02_DESC</v>
      </c>
      <c r="F110" s="34">
        <v>0</v>
      </c>
      <c r="G110" s="34" t="s">
        <v>52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P110" s="34" t="s">
        <v>44</v>
      </c>
      <c r="Q110" s="34">
        <v>0</v>
      </c>
      <c r="R110" s="37" t="s">
        <v>41</v>
      </c>
      <c r="U110" s="37" t="s">
        <v>41</v>
      </c>
      <c r="V110" s="37" t="s">
        <v>41</v>
      </c>
      <c r="W110" s="34" t="b">
        <v>1</v>
      </c>
      <c r="X110" s="34">
        <v>10000</v>
      </c>
      <c r="Y110" s="34">
        <v>0</v>
      </c>
      <c r="Z110" s="34" t="s">
        <v>41</v>
      </c>
      <c r="AA110" s="37">
        <v>0</v>
      </c>
      <c r="AB110" s="37" t="s">
        <v>301</v>
      </c>
      <c r="AC110" s="37" t="s">
        <v>41</v>
      </c>
      <c r="AD110" s="37" t="s">
        <v>41</v>
      </c>
      <c r="AE110" s="37" t="s">
        <v>41</v>
      </c>
    </row>
    <row r="111" spans="1:31" x14ac:dyDescent="0.3">
      <c r="A111" s="34">
        <v>36002</v>
      </c>
      <c r="B111" s="35" t="s">
        <v>410</v>
      </c>
      <c r="C111" s="36" t="s">
        <v>411</v>
      </c>
      <c r="D111" s="34" t="str">
        <f t="shared" ref="D111" si="54">"STR_"&amp;UPPER(C111)</f>
        <v>STR_ITEM_KEY_03</v>
      </c>
      <c r="E111" s="34" t="str">
        <f t="shared" ref="E111" si="55">D111&amp;"_DESC"</f>
        <v>STR_ITEM_KEY_03_DESC</v>
      </c>
      <c r="F111" s="34">
        <v>0</v>
      </c>
      <c r="G111" s="34" t="s">
        <v>52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P111" s="34" t="s">
        <v>44</v>
      </c>
      <c r="Q111" s="34">
        <v>0</v>
      </c>
      <c r="R111" s="37" t="s">
        <v>41</v>
      </c>
      <c r="U111" s="37" t="s">
        <v>41</v>
      </c>
      <c r="V111" s="37" t="s">
        <v>41</v>
      </c>
      <c r="W111" s="34" t="b">
        <v>1</v>
      </c>
      <c r="X111" s="34">
        <v>100000</v>
      </c>
      <c r="Y111" s="34">
        <v>0</v>
      </c>
      <c r="Z111" s="34" t="s">
        <v>41</v>
      </c>
      <c r="AA111" s="37">
        <v>0</v>
      </c>
      <c r="AB111" s="37" t="s">
        <v>301</v>
      </c>
      <c r="AC111" s="37" t="s">
        <v>41</v>
      </c>
      <c r="AD111" s="37" t="s">
        <v>41</v>
      </c>
      <c r="AE111" s="37" t="s">
        <v>41</v>
      </c>
    </row>
    <row r="112" spans="1:31" x14ac:dyDescent="0.3">
      <c r="A112" s="39">
        <v>38000</v>
      </c>
      <c r="B112" s="40" t="s">
        <v>170</v>
      </c>
      <c r="C112" s="41" t="s">
        <v>112</v>
      </c>
      <c r="D112" s="39" t="str">
        <f t="shared" si="44"/>
        <v>STR_ITEM_QUEST_01</v>
      </c>
      <c r="E112" s="39" t="str">
        <f t="shared" si="45"/>
        <v>STR_ITEM_QUEST_01_DESC</v>
      </c>
      <c r="F112" s="39">
        <v>0</v>
      </c>
      <c r="G112" s="39" t="s">
        <v>54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/>
      <c r="P112" s="39" t="s">
        <v>44</v>
      </c>
      <c r="Q112" s="39">
        <v>0</v>
      </c>
      <c r="R112" s="39" t="s">
        <v>41</v>
      </c>
      <c r="S112" s="39"/>
      <c r="T112" s="39"/>
      <c r="U112" s="39" t="s">
        <v>41</v>
      </c>
      <c r="V112" s="39" t="s">
        <v>41</v>
      </c>
      <c r="W112" s="39" t="b">
        <v>1</v>
      </c>
      <c r="X112" s="39">
        <v>10</v>
      </c>
      <c r="Y112" s="39">
        <v>0</v>
      </c>
      <c r="Z112" s="39" t="s">
        <v>41</v>
      </c>
      <c r="AA112" s="39">
        <v>0</v>
      </c>
      <c r="AB112" s="39" t="s">
        <v>125</v>
      </c>
      <c r="AC112" s="39" t="s">
        <v>41</v>
      </c>
      <c r="AD112" s="39" t="s">
        <v>41</v>
      </c>
      <c r="AE112" s="39" t="s">
        <v>41</v>
      </c>
    </row>
    <row r="113" spans="1:31" x14ac:dyDescent="0.3">
      <c r="A113" s="34">
        <v>38500</v>
      </c>
      <c r="B113" s="35" t="s">
        <v>171</v>
      </c>
      <c r="C113" s="36" t="s">
        <v>113</v>
      </c>
      <c r="D113" s="34" t="str">
        <f t="shared" si="44"/>
        <v>STR_ITEM_METERIAL_01</v>
      </c>
      <c r="E113" s="34" t="str">
        <f t="shared" si="45"/>
        <v>STR_ITEM_METERIAL_01_DESC</v>
      </c>
      <c r="F113" s="34">
        <v>0</v>
      </c>
      <c r="G113" s="34" t="s">
        <v>56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P113" s="34" t="s">
        <v>44</v>
      </c>
      <c r="Q113" s="34">
        <v>0</v>
      </c>
      <c r="R113" s="37" t="s">
        <v>41</v>
      </c>
      <c r="U113" s="37" t="s">
        <v>41</v>
      </c>
      <c r="V113" s="37" t="s">
        <v>41</v>
      </c>
      <c r="W113" s="34" t="b">
        <v>1</v>
      </c>
      <c r="X113" s="34">
        <v>10</v>
      </c>
      <c r="Y113" s="34">
        <v>0</v>
      </c>
      <c r="Z113" s="34" t="s">
        <v>41</v>
      </c>
      <c r="AA113" s="37">
        <v>0</v>
      </c>
      <c r="AB113" s="37" t="s">
        <v>125</v>
      </c>
      <c r="AC113" s="37" t="s">
        <v>41</v>
      </c>
      <c r="AD113" s="37" t="s">
        <v>41</v>
      </c>
      <c r="AE113" s="37" t="s">
        <v>41</v>
      </c>
    </row>
    <row r="114" spans="1:31" x14ac:dyDescent="0.3">
      <c r="A114" s="39">
        <v>39000</v>
      </c>
      <c r="B114" s="40" t="s">
        <v>172</v>
      </c>
      <c r="C114" s="41" t="s">
        <v>162</v>
      </c>
      <c r="D114" s="39" t="str">
        <f t="shared" si="44"/>
        <v>STR_ITEM_POTION_ITEMSLOT_01</v>
      </c>
      <c r="E114" s="39" t="str">
        <f t="shared" si="45"/>
        <v>STR_ITEM_POTION_ITEMSLOT_01_DESC</v>
      </c>
      <c r="F114" s="39">
        <v>0</v>
      </c>
      <c r="G114" s="39" t="s">
        <v>48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/>
      <c r="P114" s="39" t="s">
        <v>163</v>
      </c>
      <c r="Q114" s="39">
        <v>5</v>
      </c>
      <c r="R114" s="39" t="s">
        <v>41</v>
      </c>
      <c r="S114" s="39"/>
      <c r="T114" s="39"/>
      <c r="U114" s="39" t="s">
        <v>41</v>
      </c>
      <c r="V114" s="39" t="s">
        <v>41</v>
      </c>
      <c r="W114" s="39" t="b">
        <v>1</v>
      </c>
      <c r="X114" s="39">
        <v>10</v>
      </c>
      <c r="Y114" s="39">
        <v>25</v>
      </c>
      <c r="Z114" s="39" t="s">
        <v>41</v>
      </c>
      <c r="AA114" s="39">
        <v>0</v>
      </c>
      <c r="AB114" s="39" t="s">
        <v>302</v>
      </c>
      <c r="AC114" s="39" t="s">
        <v>41</v>
      </c>
      <c r="AD114" s="39" t="s">
        <v>41</v>
      </c>
      <c r="AE114" s="39" t="s">
        <v>41</v>
      </c>
    </row>
    <row r="115" spans="1:31" x14ac:dyDescent="0.3">
      <c r="A115" s="39">
        <v>39001</v>
      </c>
      <c r="B115" s="40" t="s">
        <v>173</v>
      </c>
      <c r="C115" s="41" t="s">
        <v>166</v>
      </c>
      <c r="D115" s="39" t="str">
        <f t="shared" ref="D115" si="56">"STR_"&amp;UPPER(C115)</f>
        <v>STR_ITEM_POTION_SLOT_01</v>
      </c>
      <c r="E115" s="39" t="str">
        <f t="shared" ref="E115" si="57">D115&amp;"_DESC"</f>
        <v>STR_ITEM_POTION_SLOT_01_DESC</v>
      </c>
      <c r="F115" s="39">
        <v>0</v>
      </c>
      <c r="G115" s="39" t="s">
        <v>48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/>
      <c r="P115" s="39" t="s">
        <v>263</v>
      </c>
      <c r="Q115" s="39">
        <v>1</v>
      </c>
      <c r="R115" s="39" t="s">
        <v>41</v>
      </c>
      <c r="S115" s="39"/>
      <c r="T115" s="39"/>
      <c r="U115" s="39" t="s">
        <v>41</v>
      </c>
      <c r="V115" s="39" t="s">
        <v>41</v>
      </c>
      <c r="W115" s="39" t="b">
        <v>1</v>
      </c>
      <c r="X115" s="39">
        <v>10</v>
      </c>
      <c r="Y115" s="39">
        <v>50</v>
      </c>
      <c r="Z115" s="39" t="s">
        <v>41</v>
      </c>
      <c r="AA115" s="39">
        <v>0</v>
      </c>
      <c r="AB115" s="39" t="s">
        <v>303</v>
      </c>
      <c r="AC115" s="39" t="s">
        <v>41</v>
      </c>
      <c r="AD115" s="39" t="s">
        <v>41</v>
      </c>
      <c r="AE115" s="39" t="s">
        <v>41</v>
      </c>
    </row>
    <row r="116" spans="1:31" x14ac:dyDescent="0.3">
      <c r="A116" s="39">
        <v>39002</v>
      </c>
      <c r="B116" s="40" t="s">
        <v>440</v>
      </c>
      <c r="C116" s="41" t="s">
        <v>437</v>
      </c>
      <c r="D116" s="39" t="str">
        <f t="shared" ref="D116" si="58">"STR_"&amp;UPPER(C116)</f>
        <v>STR_ITEM_SUMMON_01</v>
      </c>
      <c r="E116" s="39" t="str">
        <f t="shared" ref="E116" si="59">D116&amp;"_DESC"</f>
        <v>STR_ITEM_SUMMON_01_DESC</v>
      </c>
      <c r="F116" s="39">
        <v>4</v>
      </c>
      <c r="G116" s="39" t="s">
        <v>48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/>
      <c r="P116" s="39" t="s">
        <v>438</v>
      </c>
      <c r="Q116" s="39">
        <v>10017</v>
      </c>
      <c r="R116" s="39" t="s">
        <v>41</v>
      </c>
      <c r="S116" s="39"/>
      <c r="T116" s="39"/>
      <c r="U116" s="39" t="s">
        <v>41</v>
      </c>
      <c r="V116" s="39" t="s">
        <v>41</v>
      </c>
      <c r="W116" s="39" t="b">
        <v>1</v>
      </c>
      <c r="X116" s="39">
        <v>10</v>
      </c>
      <c r="Y116" s="39">
        <v>125</v>
      </c>
      <c r="Z116" s="39" t="s">
        <v>41</v>
      </c>
      <c r="AA116" s="39">
        <v>0</v>
      </c>
      <c r="AB116" s="39" t="s">
        <v>439</v>
      </c>
      <c r="AC116" s="39" t="s">
        <v>41</v>
      </c>
      <c r="AD116" s="39" t="s">
        <v>41</v>
      </c>
      <c r="AE116" s="39" t="s">
        <v>41</v>
      </c>
    </row>
    <row r="117" spans="1:31" x14ac:dyDescent="0.3">
      <c r="A117" s="39">
        <v>39003</v>
      </c>
      <c r="B117" s="40" t="s">
        <v>446</v>
      </c>
      <c r="C117" s="41" t="s">
        <v>442</v>
      </c>
      <c r="D117" s="39" t="str">
        <f t="shared" ref="D117:D119" si="60">"STR_"&amp;UPPER(C117)</f>
        <v>STR_ITEM_SUMMON_02</v>
      </c>
      <c r="E117" s="39" t="str">
        <f t="shared" ref="E117:E119" si="61">D117&amp;"_DESC"</f>
        <v>STR_ITEM_SUMMON_02_DESC</v>
      </c>
      <c r="F117" s="39">
        <v>4</v>
      </c>
      <c r="G117" s="39" t="s">
        <v>48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/>
      <c r="P117" s="39" t="s">
        <v>438</v>
      </c>
      <c r="Q117" s="39">
        <v>10018</v>
      </c>
      <c r="R117" s="39" t="s">
        <v>41</v>
      </c>
      <c r="S117" s="39"/>
      <c r="T117" s="39"/>
      <c r="U117" s="39" t="s">
        <v>41</v>
      </c>
      <c r="V117" s="39" t="s">
        <v>41</v>
      </c>
      <c r="W117" s="39" t="b">
        <v>1</v>
      </c>
      <c r="X117" s="39">
        <v>10</v>
      </c>
      <c r="Y117" s="39">
        <v>125</v>
      </c>
      <c r="Z117" s="39" t="s">
        <v>41</v>
      </c>
      <c r="AA117" s="39">
        <v>0</v>
      </c>
      <c r="AB117" s="39" t="s">
        <v>439</v>
      </c>
      <c r="AC117" s="39" t="s">
        <v>41</v>
      </c>
      <c r="AD117" s="39" t="s">
        <v>41</v>
      </c>
      <c r="AE117" s="39" t="s">
        <v>41</v>
      </c>
    </row>
    <row r="118" spans="1:31" x14ac:dyDescent="0.3">
      <c r="A118" s="39">
        <v>39004</v>
      </c>
      <c r="B118" s="40" t="s">
        <v>447</v>
      </c>
      <c r="C118" s="41" t="s">
        <v>443</v>
      </c>
      <c r="D118" s="39" t="str">
        <f t="shared" si="60"/>
        <v>STR_ITEM_SUMMON_03</v>
      </c>
      <c r="E118" s="39" t="str">
        <f t="shared" si="61"/>
        <v>STR_ITEM_SUMMON_03_DESC</v>
      </c>
      <c r="F118" s="39">
        <v>4</v>
      </c>
      <c r="G118" s="39" t="s">
        <v>48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/>
      <c r="P118" s="39" t="s">
        <v>438</v>
      </c>
      <c r="Q118" s="39">
        <v>10019</v>
      </c>
      <c r="R118" s="39" t="s">
        <v>41</v>
      </c>
      <c r="S118" s="39"/>
      <c r="T118" s="39"/>
      <c r="U118" s="39" t="s">
        <v>41</v>
      </c>
      <c r="V118" s="39" t="s">
        <v>41</v>
      </c>
      <c r="W118" s="39" t="b">
        <v>1</v>
      </c>
      <c r="X118" s="39">
        <v>10</v>
      </c>
      <c r="Y118" s="39">
        <v>125</v>
      </c>
      <c r="Z118" s="39" t="s">
        <v>41</v>
      </c>
      <c r="AA118" s="39">
        <v>0</v>
      </c>
      <c r="AB118" s="39" t="s">
        <v>439</v>
      </c>
      <c r="AC118" s="39" t="s">
        <v>41</v>
      </c>
      <c r="AD118" s="39" t="s">
        <v>41</v>
      </c>
      <c r="AE118" s="39" t="s">
        <v>41</v>
      </c>
    </row>
    <row r="119" spans="1:31" x14ac:dyDescent="0.3">
      <c r="A119" s="39">
        <v>39005</v>
      </c>
      <c r="B119" s="40" t="s">
        <v>448</v>
      </c>
      <c r="C119" s="41" t="s">
        <v>444</v>
      </c>
      <c r="D119" s="39" t="str">
        <f t="shared" si="60"/>
        <v>STR_ITEM_SUMMON_04</v>
      </c>
      <c r="E119" s="39" t="str">
        <f t="shared" si="61"/>
        <v>STR_ITEM_SUMMON_04_DESC</v>
      </c>
      <c r="F119" s="39">
        <v>4</v>
      </c>
      <c r="G119" s="39" t="s">
        <v>48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/>
      <c r="P119" s="39" t="s">
        <v>438</v>
      </c>
      <c r="Q119" s="39">
        <v>10020</v>
      </c>
      <c r="R119" s="39" t="s">
        <v>41</v>
      </c>
      <c r="S119" s="39"/>
      <c r="T119" s="39"/>
      <c r="U119" s="39" t="s">
        <v>41</v>
      </c>
      <c r="V119" s="39" t="s">
        <v>41</v>
      </c>
      <c r="W119" s="39" t="b">
        <v>1</v>
      </c>
      <c r="X119" s="39">
        <v>10</v>
      </c>
      <c r="Y119" s="39">
        <v>125</v>
      </c>
      <c r="Z119" s="39" t="s">
        <v>41</v>
      </c>
      <c r="AA119" s="39">
        <v>0</v>
      </c>
      <c r="AB119" s="39" t="s">
        <v>439</v>
      </c>
      <c r="AC119" s="39" t="s">
        <v>41</v>
      </c>
      <c r="AD119" s="39" t="s">
        <v>41</v>
      </c>
      <c r="AE119" s="39" t="s">
        <v>41</v>
      </c>
    </row>
    <row r="120" spans="1:31" x14ac:dyDescent="0.3">
      <c r="A120" s="39">
        <v>39006</v>
      </c>
      <c r="B120" s="40" t="s">
        <v>449</v>
      </c>
      <c r="C120" s="41" t="s">
        <v>445</v>
      </c>
      <c r="D120" s="39" t="str">
        <f t="shared" ref="D120" si="62">"STR_"&amp;UPPER(C120)</f>
        <v>STR_ITEM_SUMMON_05</v>
      </c>
      <c r="E120" s="39" t="str">
        <f t="shared" ref="E120" si="63">D120&amp;"_DESC"</f>
        <v>STR_ITEM_SUMMON_05_DESC</v>
      </c>
      <c r="F120" s="39">
        <v>4</v>
      </c>
      <c r="G120" s="39" t="s">
        <v>48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/>
      <c r="P120" s="39" t="s">
        <v>438</v>
      </c>
      <c r="Q120" s="39">
        <v>10021</v>
      </c>
      <c r="R120" s="39" t="s">
        <v>41</v>
      </c>
      <c r="S120" s="39"/>
      <c r="T120" s="39"/>
      <c r="U120" s="39" t="s">
        <v>41</v>
      </c>
      <c r="V120" s="39" t="s">
        <v>41</v>
      </c>
      <c r="W120" s="39" t="b">
        <v>1</v>
      </c>
      <c r="X120" s="39">
        <v>10</v>
      </c>
      <c r="Y120" s="39">
        <v>125</v>
      </c>
      <c r="Z120" s="39" t="s">
        <v>41</v>
      </c>
      <c r="AA120" s="39">
        <v>0</v>
      </c>
      <c r="AB120" s="39" t="s">
        <v>439</v>
      </c>
      <c r="AC120" s="39" t="s">
        <v>41</v>
      </c>
      <c r="AD120" s="39" t="s">
        <v>41</v>
      </c>
      <c r="AE120" s="39" t="s">
        <v>41</v>
      </c>
    </row>
  </sheetData>
  <autoFilter ref="A1:AE1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64">
        <x14:dataValidation type="whole" allowBlank="1" showInputMessage="1" showErrorMessage="1">
          <x14:formula1>
            <xm:f>Definition!#REF!</xm:f>
          </x14:formula1>
          <x14:formula2>
            <xm:f>Definition!#REF!</xm:f>
          </x14:formula2>
          <xm:sqref>F113</xm:sqref>
        </x14:dataValidation>
        <x14:dataValidation type="list" allowBlank="1" showInputMessage="1" showErrorMessage="1">
          <x14:formula1>
            <xm:f>Type!$B$2:$B$20</xm:f>
          </x14:formula1>
          <xm:sqref>P2:P120</xm:sqref>
        </x14:dataValidation>
        <x14:dataValidation type="list" allowBlank="1" showInputMessage="1" showErrorMessage="1">
          <x14:formula1>
            <xm:f>Type!$A$2:$A$101</xm:f>
          </x14:formula1>
          <xm:sqref>G1:G1048576</xm:sqref>
        </x14:dataValidation>
        <x14:dataValidation type="whole" allowBlank="1" showInputMessage="1" showErrorMessage="1">
          <x14:formula1>
            <xm:f>Definition!F35</xm:f>
          </x14:formula1>
          <x14:formula2>
            <xm:f>Definition!G35</xm:f>
          </x14:formula2>
          <xm:sqref>F112</xm:sqref>
        </x14:dataValidation>
        <x14:dataValidation type="whole" allowBlank="1" showInputMessage="1" showErrorMessage="1">
          <x14:formula1>
            <xm:f>Definition!F32</xm:f>
          </x14:formula1>
          <x14:formula2>
            <xm:f>Definition!G32</xm:f>
          </x14:formula2>
          <xm:sqref>F114:F120</xm:sqref>
        </x14:dataValidation>
        <x14:dataValidation type="whole" allowBlank="1" showInputMessage="1" showErrorMessage="1">
          <x14:formula1>
            <xm:f>Definition!F30</xm:f>
          </x14:formula1>
          <x14:formula2>
            <xm:f>Definition!G30</xm:f>
          </x14:formula2>
          <xm:sqref>F109:F111</xm:sqref>
        </x14:dataValidation>
        <x14:dataValidation type="whole" allowBlank="1" showInputMessage="1" showErrorMessage="1">
          <x14:formula1>
            <xm:f>Definition!F29</xm:f>
          </x14:formula1>
          <x14:formula2>
            <xm:f>Definition!G29</xm:f>
          </x14:formula2>
          <xm:sqref>H109:H111</xm:sqref>
        </x14:dataValidation>
        <x14:dataValidation type="whole" allowBlank="1" showInputMessage="1" showErrorMessage="1">
          <x14:formula1>
            <xm:f>Definition!F31</xm:f>
          </x14:formula1>
          <x14:formula2>
            <xm:f>Definition!G31</xm:f>
          </x14:formula2>
          <xm:sqref>H112:H120</xm:sqref>
        </x14:dataValidation>
        <x14:dataValidation type="whole" allowBlank="1" showInputMessage="1" showErrorMessage="1">
          <x14:formula1>
            <xm:f>Definition!F49</xm:f>
          </x14:formula1>
          <x14:formula2>
            <xm:f>Definition!G49</xm:f>
          </x14:formula2>
          <xm:sqref>F82:F84</xm:sqref>
        </x14:dataValidation>
        <x14:dataValidation type="whole" allowBlank="1" showInputMessage="1" showErrorMessage="1">
          <x14:formula1>
            <xm:f>Definition!F51</xm:f>
          </x14:formula1>
          <x14:formula2>
            <xm:f>Definition!G51</xm:f>
          </x14:formula2>
          <xm:sqref>H82:H84</xm:sqref>
        </x14:dataValidation>
        <x14:dataValidation type="whole" allowBlank="1" showInputMessage="1" showErrorMessage="1">
          <x14:formula1>
            <xm:f>Definition!F34</xm:f>
          </x14:formula1>
          <x14:formula2>
            <xm:f>Definition!G34</xm:f>
          </x14:formula2>
          <xm:sqref>F104:F106</xm:sqref>
        </x14:dataValidation>
        <x14:dataValidation type="whole" allowBlank="1" showInputMessage="1" showErrorMessage="1">
          <x14:formula1>
            <xm:f>Definition!F30</xm:f>
          </x14:formula1>
          <x14:formula2>
            <xm:f>Definition!G30</xm:f>
          </x14:formula2>
          <xm:sqref>H104:H106</xm:sqref>
        </x14:dataValidation>
        <x14:dataValidation type="whole" allowBlank="1" showInputMessage="1" showErrorMessage="1">
          <x14:formula1>
            <xm:f>Definition!F32</xm:f>
          </x14:formula1>
          <x14:formula2>
            <xm:f>Definition!G32</xm:f>
          </x14:formula2>
          <xm:sqref>F100:F103 F107:F108</xm:sqref>
        </x14:dataValidation>
        <x14:dataValidation type="whole" allowBlank="1" showInputMessage="1" showErrorMessage="1">
          <x14:formula1>
            <xm:f>Definition!F28</xm:f>
          </x14:formula1>
          <x14:formula2>
            <xm:f>Definition!G28</xm:f>
          </x14:formula2>
          <xm:sqref>H100:H103 H107:H108</xm:sqref>
        </x14:dataValidation>
        <x14:dataValidation type="whole" allowBlank="1" showInputMessage="1" showErrorMessage="1">
          <x14:formula1>
            <xm:f>Definition!F62</xm:f>
          </x14:formula1>
          <x14:formula2>
            <xm:f>Definition!G62</xm:f>
          </x14:formula2>
          <xm:sqref>F97:F99</xm:sqref>
        </x14:dataValidation>
        <x14:dataValidation type="whole" allowBlank="1" showInputMessage="1" showErrorMessage="1">
          <x14:formula1>
            <xm:f>Definition!F64</xm:f>
          </x14:formula1>
          <x14:formula2>
            <xm:f>Definition!G64</xm:f>
          </x14:formula2>
          <xm:sqref>H97:H99</xm:sqref>
        </x14:dataValidation>
        <x14:dataValidation type="whole" allowBlank="1" showInputMessage="1" showErrorMessage="1">
          <x14:formula1>
            <xm:f>Definition!F24</xm:f>
          </x14:formula1>
          <x14:formula2>
            <xm:f>Definition!G24</xm:f>
          </x14:formula2>
          <xm:sqref>F85:F87 F50 F58 F54 F62</xm:sqref>
        </x14:dataValidation>
        <x14:dataValidation type="whole" allowBlank="1" showInputMessage="1" showErrorMessage="1">
          <x14:formula1>
            <xm:f>Definition!F61</xm:f>
          </x14:formula1>
          <x14:formula2>
            <xm:f>Definition!G61</xm:f>
          </x14:formula2>
          <xm:sqref>H85:H87</xm:sqref>
        </x14:dataValidation>
        <x14:dataValidation type="whole" allowBlank="1" showInputMessage="1" showErrorMessage="1">
          <x14:formula1>
            <xm:f>Definition!F52</xm:f>
          </x14:formula1>
          <x14:formula2>
            <xm:f>Definition!G52</xm:f>
          </x14:formula2>
          <xm:sqref>F94:F96</xm:sqref>
        </x14:dataValidation>
        <x14:dataValidation type="whole" allowBlank="1" showInputMessage="1" showErrorMessage="1">
          <x14:formula1>
            <xm:f>Definition!F54</xm:f>
          </x14:formula1>
          <x14:formula2>
            <xm:f>Definition!G54</xm:f>
          </x14:formula2>
          <xm:sqref>H94:H96</xm:sqref>
        </x14:dataValidation>
        <x14:dataValidation type="whole" allowBlank="1" showInputMessage="1" showErrorMessage="1">
          <x14:formula1>
            <xm:f>Definition!F42</xm:f>
          </x14:formula1>
          <x14:formula2>
            <xm:f>Definition!G42</xm:f>
          </x14:formula2>
          <xm:sqref>F91:F93</xm:sqref>
        </x14:dataValidation>
        <x14:dataValidation type="whole" allowBlank="1" showInputMessage="1" showErrorMessage="1">
          <x14:formula1>
            <xm:f>Definition!F44</xm:f>
          </x14:formula1>
          <x14:formula2>
            <xm:f>Definition!G44</xm:f>
          </x14:formula2>
          <xm:sqref>H91:H93</xm:sqref>
        </x14:dataValidation>
        <x14:dataValidation type="whole" allowBlank="1" showInputMessage="1" showErrorMessage="1">
          <x14:formula1>
            <xm:f>Definition!F32</xm:f>
          </x14:formula1>
          <x14:formula2>
            <xm:f>Definition!G32</xm:f>
          </x14:formula2>
          <xm:sqref>F88:F90</xm:sqref>
        </x14:dataValidation>
        <x14:dataValidation type="whole" allowBlank="1" showInputMessage="1" showErrorMessage="1">
          <x14:formula1>
            <xm:f>Definition!F34</xm:f>
          </x14:formula1>
          <x14:formula2>
            <xm:f>Definition!G34</xm:f>
          </x14:formula2>
          <xm:sqref>H88:H90</xm:sqref>
        </x14:dataValidation>
        <x14:dataValidation type="whole" allowBlank="1" showInputMessage="1" showErrorMessage="1">
          <x14:formula1>
            <xm:f>Definition!F39</xm:f>
          </x14:formula1>
          <x14:formula2>
            <xm:f>Definition!G39</xm:f>
          </x14:formula2>
          <xm:sqref>F79:F81</xm:sqref>
        </x14:dataValidation>
        <x14:dataValidation type="whole" allowBlank="1" showInputMessage="1" showErrorMessage="1">
          <x14:formula1>
            <xm:f>Definition!F41</xm:f>
          </x14:formula1>
          <x14:formula2>
            <xm:f>Definition!G41</xm:f>
          </x14:formula2>
          <xm:sqref>H79:H81</xm:sqref>
        </x14:dataValidation>
        <x14:dataValidation type="whole" allowBlank="1" showInputMessage="1" showErrorMessage="1">
          <x14:formula1>
            <xm:f>Definition!F25</xm:f>
          </x14:formula1>
          <x14:formula2>
            <xm:f>Definition!G25</xm:f>
          </x14:formula2>
          <xm:sqref>F63:F66</xm:sqref>
        </x14:dataValidation>
        <x14:dataValidation type="whole" allowBlank="1" showInputMessage="1" showErrorMessage="1">
          <x14:formula1>
            <xm:f>Definition!F27</xm:f>
          </x14:formula1>
          <x14:formula2>
            <xm:f>Definition!G27</xm:f>
          </x14:formula2>
          <xm:sqref>H63:H66</xm:sqref>
        </x14:dataValidation>
        <x14:dataValidation type="whole" allowBlank="1" showInputMessage="1" showErrorMessage="1">
          <x14:formula1>
            <xm:f>Definition!F34</xm:f>
          </x14:formula1>
          <x14:formula2>
            <xm:f>Definition!G34</xm:f>
          </x14:formula2>
          <xm:sqref>F73:F75 F55:F57 F59:F61 F51:F53</xm:sqref>
        </x14:dataValidation>
        <x14:dataValidation type="whole" allowBlank="1" showInputMessage="1" showErrorMessage="1">
          <x14:formula1>
            <xm:f>Definition!F38</xm:f>
          </x14:formula1>
          <x14:formula2>
            <xm:f>Definition!G38</xm:f>
          </x14:formula2>
          <xm:sqref>H73:H75 H57 H61 H53</xm:sqref>
        </x14:dataValidation>
        <x14:dataValidation type="whole" allowBlank="1" showInputMessage="1" showErrorMessage="1">
          <x14:formula1>
            <xm:f>Definition!F29</xm:f>
          </x14:formula1>
          <x14:formula2>
            <xm:f>Definition!G29</xm:f>
          </x14:formula2>
          <xm:sqref>F76:F78</xm:sqref>
        </x14:dataValidation>
        <x14:dataValidation type="whole" allowBlank="1" showInputMessage="1" showErrorMessage="1">
          <x14:formula1>
            <xm:f>Definition!F31</xm:f>
          </x14:formula1>
          <x14:formula2>
            <xm:f>Definition!G31</xm:f>
          </x14:formula2>
          <xm:sqref>H76:H78</xm:sqref>
        </x14:dataValidation>
        <x14:dataValidation type="whole" allowBlank="1" showInputMessage="1" showErrorMessage="1">
          <x14:formula1>
            <xm:f>Definition!F46</xm:f>
          </x14:formula1>
          <x14:formula2>
            <xm:f>Definition!G46</xm:f>
          </x14:formula2>
          <xm:sqref>F70:F72</xm:sqref>
        </x14:dataValidation>
        <x14:dataValidation type="whole" allowBlank="1" showInputMessage="1" showErrorMessage="1">
          <x14:formula1>
            <xm:f>Definition!F48</xm:f>
          </x14:formula1>
          <x14:formula2>
            <xm:f>Definition!G48</xm:f>
          </x14:formula2>
          <xm:sqref>H70:H72</xm:sqref>
        </x14:dataValidation>
        <x14:dataValidation type="whole" allowBlank="1" showInputMessage="1" showErrorMessage="1">
          <x14:formula1>
            <xm:f>Definition!F36</xm:f>
          </x14:formula1>
          <x14:formula2>
            <xm:f>Definition!G36</xm:f>
          </x14:formula2>
          <xm:sqref>F67:F69</xm:sqref>
        </x14:dataValidation>
        <x14:dataValidation type="whole" allowBlank="1" showInputMessage="1" showErrorMessage="1">
          <x14:formula1>
            <xm:f>Definition!F38</xm:f>
          </x14:formula1>
          <x14:formula2>
            <xm:f>Definition!G38</xm:f>
          </x14:formula2>
          <xm:sqref>H67:H69</xm:sqref>
        </x14:dataValidation>
        <x14:dataValidation type="whole" allowBlank="1" showInputMessage="1" showErrorMessage="1">
          <x14:formula1>
            <xm:f>Definition!F29</xm:f>
          </x14:formula1>
          <x14:formula2>
            <xm:f>Definition!G29</xm:f>
          </x14:formula2>
          <xm:sqref>H50:H52 H58:H60 H54:H56 H62</xm:sqref>
        </x14:dataValidation>
        <x14:dataValidation type="whole" allowBlank="1" showInputMessage="1" showErrorMessage="1">
          <x14:formula1>
            <xm:f>Definition!F32</xm:f>
          </x14:formula1>
          <x14:formula2>
            <xm:f>Definition!G32</xm:f>
          </x14:formula2>
          <xm:sqref>F45:F49</xm:sqref>
        </x14:dataValidation>
        <x14:dataValidation type="whole" allowBlank="1" showInputMessage="1" showErrorMessage="1">
          <x14:formula1>
            <xm:f>Definition!F34</xm:f>
          </x14:formula1>
          <x14:formula2>
            <xm:f>Definition!G34</xm:f>
          </x14:formula2>
          <xm:sqref>H45:H49</xm:sqref>
        </x14:dataValidation>
        <x14:dataValidation type="whole" allowBlank="1" showInputMessage="1" showErrorMessage="1">
          <x14:formula1>
            <xm:f>Definition!F23</xm:f>
          </x14:formula1>
          <x14:formula2>
            <xm:f>Definition!G23</xm:f>
          </x14:formula2>
          <xm:sqref>F32:F44</xm:sqref>
        </x14:dataValidation>
        <x14:dataValidation type="whole" allowBlank="1" showInputMessage="1" showErrorMessage="1">
          <x14:formula1>
            <xm:f>Definition!F25</xm:f>
          </x14:formula1>
          <x14:formula2>
            <xm:f>Definition!G25</xm:f>
          </x14:formula2>
          <xm:sqref>H32:H44</xm:sqref>
        </x14:dataValidation>
        <x14:dataValidation type="whole" allowBlank="1" showInputMessage="1" showErrorMessage="1">
          <x14:formula1>
            <xm:f>Definition!F43</xm:f>
          </x14:formula1>
          <x14:formula2>
            <xm:f>Definition!G43</xm:f>
          </x14:formula2>
          <xm:sqref>F29:F30</xm:sqref>
        </x14:dataValidation>
        <x14:dataValidation type="whole" allowBlank="1" showInputMessage="1" showErrorMessage="1">
          <x14:formula1>
            <xm:f>Definition!F22</xm:f>
          </x14:formula1>
          <x14:formula2>
            <xm:f>Definition!G22</xm:f>
          </x14:formula2>
          <xm:sqref>F31 F7:F10</xm:sqref>
        </x14:dataValidation>
        <x14:dataValidation type="whole" allowBlank="1" showInputMessage="1" showErrorMessage="1">
          <x14:formula1>
            <xm:f>Definition!F24</xm:f>
          </x14:formula1>
          <x14:formula2>
            <xm:f>Definition!G24</xm:f>
          </x14:formula2>
          <xm:sqref>H31 H7:H10</xm:sqref>
        </x14:dataValidation>
        <x14:dataValidation type="whole" allowBlank="1" showInputMessage="1" showErrorMessage="1">
          <x14:formula1>
            <xm:f>Definition!F45</xm:f>
          </x14:formula1>
          <x14:formula2>
            <xm:f>Definition!G45</xm:f>
          </x14:formula2>
          <xm:sqref>H29:H30</xm:sqref>
        </x14:dataValidation>
        <x14:dataValidation type="whole" allowBlank="1" showInputMessage="1" showErrorMessage="1">
          <x14:formula1>
            <xm:f>Definition!F37</xm:f>
          </x14:formula1>
          <x14:formula2>
            <xm:f>Definition!G37</xm:f>
          </x14:formula2>
          <xm:sqref>F26:F27</xm:sqref>
        </x14:dataValidation>
        <x14:dataValidation type="whole" allowBlank="1" showInputMessage="1" showErrorMessage="1">
          <x14:formula1>
            <xm:f>Definition!F40</xm:f>
          </x14:formula1>
          <x14:formula2>
            <xm:f>Definition!G40</xm:f>
          </x14:formula2>
          <xm:sqref>F28</xm:sqref>
        </x14:dataValidation>
        <x14:dataValidation type="whole" allowBlank="1" showInputMessage="1" showErrorMessage="1">
          <x14:formula1>
            <xm:f>Definition!F41</xm:f>
          </x14:formula1>
          <x14:formula2>
            <xm:f>Definition!G41</xm:f>
          </x14:formula2>
          <xm:sqref>F17:F19</xm:sqref>
        </x14:dataValidation>
        <x14:dataValidation type="whole" allowBlank="1" showInputMessage="1" showErrorMessage="1">
          <x14:formula1>
            <xm:f>Definition!F42</xm:f>
          </x14:formula1>
          <x14:formula2>
            <xm:f>Definition!G42</xm:f>
          </x14:formula2>
          <xm:sqref>H28</xm:sqref>
        </x14:dataValidation>
        <x14:dataValidation type="whole" allowBlank="1" showInputMessage="1" showErrorMessage="1">
          <x14:formula1>
            <xm:f>Definition!F43</xm:f>
          </x14:formula1>
          <x14:formula2>
            <xm:f>Definition!G43</xm:f>
          </x14:formula2>
          <xm:sqref>H17:H19</xm:sqref>
        </x14:dataValidation>
        <x14:dataValidation type="whole" allowBlank="1" showInputMessage="1" showErrorMessage="1">
          <x14:formula1>
            <xm:f>Definition!F39</xm:f>
          </x14:formula1>
          <x14:formula2>
            <xm:f>Definition!G39</xm:f>
          </x14:formula2>
          <xm:sqref>H26:H27</xm:sqref>
        </x14:dataValidation>
        <x14:dataValidation type="whole" allowBlank="1" showInputMessage="1" showErrorMessage="1">
          <x14:formula1>
            <xm:f>Definition!F31</xm:f>
          </x14:formula1>
          <x14:formula2>
            <xm:f>Definition!G31</xm:f>
          </x14:formula2>
          <xm:sqref>F23:F24</xm:sqref>
        </x14:dataValidation>
        <x14:dataValidation type="whole" allowBlank="1" showInputMessage="1" showErrorMessage="1">
          <x14:formula1>
            <xm:f>Definition!F34</xm:f>
          </x14:formula1>
          <x14:formula2>
            <xm:f>Definition!G34</xm:f>
          </x14:formula2>
          <xm:sqref>F25</xm:sqref>
        </x14:dataValidation>
        <x14:dataValidation type="whole" allowBlank="1" showInputMessage="1" showErrorMessage="1">
          <x14:formula1>
            <xm:f>Definition!F36</xm:f>
          </x14:formula1>
          <x14:formula2>
            <xm:f>Definition!G36</xm:f>
          </x14:formula2>
          <xm:sqref>H25</xm:sqref>
        </x14:dataValidation>
        <x14:dataValidation type="whole" allowBlank="1" showInputMessage="1" showErrorMessage="1">
          <x14:formula1>
            <xm:f>Definition!F33</xm:f>
          </x14:formula1>
          <x14:formula2>
            <xm:f>Definition!G33</xm:f>
          </x14:formula2>
          <xm:sqref>H23:H24</xm:sqref>
        </x14:dataValidation>
        <x14:dataValidation type="whole" allowBlank="1" showInputMessage="1" showErrorMessage="1">
          <x14:formula1>
            <xm:f>Definition!F25</xm:f>
          </x14:formula1>
          <x14:formula2>
            <xm:f>Definition!G25</xm:f>
          </x14:formula2>
          <xm:sqref>F20:F21</xm:sqref>
        </x14:dataValidation>
        <x14:dataValidation type="whole" allowBlank="1" showInputMessage="1" showErrorMessage="1">
          <x14:formula1>
            <xm:f>Definition!F28</xm:f>
          </x14:formula1>
          <x14:formula2>
            <xm:f>Definition!G28</xm:f>
          </x14:formula2>
          <xm:sqref>F22</xm:sqref>
        </x14:dataValidation>
        <x14:dataValidation type="whole" allowBlank="1" showInputMessage="1" showErrorMessage="1">
          <x14:formula1>
            <xm:f>Definition!F30</xm:f>
          </x14:formula1>
          <x14:formula2>
            <xm:f>Definition!G30</xm:f>
          </x14:formula2>
          <xm:sqref>H22</xm:sqref>
        </x14:dataValidation>
        <x14:dataValidation type="whole" allowBlank="1" showInputMessage="1" showErrorMessage="1">
          <x14:formula1>
            <xm:f>Definition!F27</xm:f>
          </x14:formula1>
          <x14:formula2>
            <xm:f>Definition!G27</xm:f>
          </x14:formula2>
          <xm:sqref>H20:H21</xm:sqref>
        </x14:dataValidation>
        <x14:dataValidation type="whole" allowBlank="1" showInputMessage="1" showErrorMessage="1">
          <x14:formula1>
            <xm:f>Definition!F35</xm:f>
          </x14:formula1>
          <x14:formula2>
            <xm:f>Definition!G35</xm:f>
          </x14:formula2>
          <xm:sqref>F14:F16</xm:sqref>
        </x14:dataValidation>
        <x14:dataValidation type="whole" allowBlank="1" showInputMessage="1" showErrorMessage="1">
          <x14:formula1>
            <xm:f>Definition!F37</xm:f>
          </x14:formula1>
          <x14:formula2>
            <xm:f>Definition!G37</xm:f>
          </x14:formula2>
          <xm:sqref>H14:H16</xm:sqref>
        </x14:dataValidation>
        <x14:dataValidation type="whole" allowBlank="1" showInputMessage="1" showErrorMessage="1">
          <x14:formula1>
            <xm:f>Definition!F29</xm:f>
          </x14:formula1>
          <x14:formula2>
            <xm:f>Definition!G29</xm:f>
          </x14:formula2>
          <xm:sqref>F11:F13</xm:sqref>
        </x14:dataValidation>
        <x14:dataValidation type="whole" allowBlank="1" showInputMessage="1" showErrorMessage="1">
          <x14:formula1>
            <xm:f>Definition!F22</xm:f>
          </x14:formula1>
          <x14:formula2>
            <xm:f>Definition!G22</xm:f>
          </x14:formula2>
          <xm:sqref>H2:H6 H11:H13</xm:sqref>
        </x14:dataValidation>
        <x14:dataValidation type="whole" allowBlank="1" showInputMessage="1" showErrorMessage="1">
          <x14:formula1>
            <xm:f>Definition!F21</xm:f>
          </x14:formula1>
          <x14:formula2>
            <xm:f>Definition!G21</xm:f>
          </x14:formula2>
          <xm:sqref>F2:F6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B8" sqref="B8"/>
    </sheetView>
  </sheetViews>
  <sheetFormatPr defaultRowHeight="16.5" x14ac:dyDescent="0.3"/>
  <sheetData>
    <row r="1" spans="1:16" x14ac:dyDescent="0.3">
      <c r="A1" s="1" t="s">
        <v>5</v>
      </c>
      <c r="B1" s="1" t="s">
        <v>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45</v>
      </c>
      <c r="B2" s="1" t="s">
        <v>107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47</v>
      </c>
      <c r="B3" s="1" t="s">
        <v>127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49</v>
      </c>
      <c r="B4" s="1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51</v>
      </c>
      <c r="B5" s="1" t="s">
        <v>264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53</v>
      </c>
      <c r="B6" s="1" t="s">
        <v>165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 t="s">
        <v>55</v>
      </c>
      <c r="B7" s="1" t="s">
        <v>409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 t="s">
        <v>57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2016-11-15T00:01:15Z</dcterms:modified>
</cp:coreProperties>
</file>