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11880" activeTab="3"/>
  </bookViews>
  <sheets>
    <sheet name="무기" sheetId="1" r:id="rId1"/>
    <sheet name="갑옷" sheetId="4" r:id="rId2"/>
    <sheet name="신발" sheetId="5" r:id="rId3"/>
    <sheet name="장신구" sheetId="6" r:id="rId4"/>
    <sheet name="참조" sheetId="2" r:id="rId5"/>
  </sheets>
  <calcPr calcId="145621"/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O24" i="6"/>
  <c r="O23" i="6"/>
  <c r="O22" i="6"/>
  <c r="O21" i="6"/>
  <c r="O20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" i="6"/>
  <c r="P39" i="1" l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H3" i="2" l="1"/>
  <c r="H4" i="2"/>
  <c r="H5" i="2"/>
  <c r="G4" i="2"/>
  <c r="G5" i="2"/>
  <c r="H2" i="2"/>
  <c r="G3" i="2"/>
  <c r="G2" i="2"/>
  <c r="F5" i="2"/>
  <c r="F4" i="2"/>
  <c r="C2" i="2"/>
  <c r="Q38" i="1" l="1"/>
  <c r="P38" i="1"/>
  <c r="Q37" i="1"/>
  <c r="P37" i="1"/>
  <c r="Q36" i="1"/>
  <c r="P36" i="1"/>
  <c r="Q29" i="1"/>
  <c r="P29" i="1"/>
  <c r="Q28" i="1"/>
  <c r="P28" i="1"/>
  <c r="Q27" i="1"/>
  <c r="P27" i="1"/>
  <c r="Q20" i="1"/>
  <c r="P20" i="1"/>
  <c r="Q19" i="1"/>
  <c r="P19" i="1"/>
  <c r="Q18" i="1"/>
  <c r="P18" i="1"/>
  <c r="Q11" i="1"/>
  <c r="P11" i="1"/>
  <c r="Q10" i="1"/>
  <c r="P10" i="1"/>
  <c r="Q9" i="1"/>
  <c r="P9" i="1"/>
  <c r="P12" i="1"/>
  <c r="Q12" i="1"/>
  <c r="P13" i="1"/>
  <c r="Q13" i="1"/>
  <c r="P14" i="1"/>
  <c r="Q14" i="1"/>
  <c r="P15" i="1"/>
  <c r="Q15" i="1"/>
  <c r="P16" i="1"/>
  <c r="Q16" i="1"/>
  <c r="P17" i="1"/>
  <c r="Q17" i="1"/>
  <c r="P21" i="1"/>
  <c r="Q21" i="1"/>
  <c r="P22" i="1"/>
  <c r="Q22" i="1"/>
  <c r="P23" i="1"/>
  <c r="Q23" i="1"/>
  <c r="P24" i="1"/>
  <c r="Q24" i="1"/>
  <c r="P25" i="1"/>
  <c r="Q25" i="1"/>
  <c r="P26" i="1"/>
  <c r="Q26" i="1"/>
  <c r="P30" i="1"/>
  <c r="Q30" i="1"/>
  <c r="P31" i="1"/>
  <c r="Q31" i="1"/>
  <c r="P32" i="1"/>
  <c r="Q32" i="1"/>
  <c r="P33" i="1"/>
  <c r="Q33" i="1"/>
  <c r="P34" i="1"/>
  <c r="Q34" i="1"/>
  <c r="P35" i="1"/>
  <c r="Q35" i="1"/>
  <c r="Q3" i="1"/>
  <c r="Q4" i="1"/>
  <c r="Q5" i="1"/>
  <c r="Q6" i="1"/>
  <c r="Q7" i="1"/>
  <c r="Q8" i="1"/>
  <c r="Q2" i="1"/>
  <c r="P3" i="1"/>
  <c r="P4" i="1"/>
  <c r="P5" i="1"/>
  <c r="P6" i="1"/>
  <c r="P7" i="1"/>
  <c r="P8" i="1"/>
  <c r="P2" i="1"/>
</calcChain>
</file>

<file path=xl/sharedStrings.xml><?xml version="1.0" encoding="utf-8"?>
<sst xmlns="http://schemas.openxmlformats.org/spreadsheetml/2006/main" count="510" uniqueCount="257">
  <si>
    <t>Equip</t>
  </si>
  <si>
    <t>item_equip_n_ar_02</t>
  </si>
  <si>
    <t>item_equip_n_ar_03</t>
  </si>
  <si>
    <t>item_equip_n_ar_04</t>
  </si>
  <si>
    <t>item_equip_n_ar_05</t>
  </si>
  <si>
    <t>item_equip_n_ar_06</t>
  </si>
  <si>
    <t>item_equip_n_ar_07</t>
  </si>
  <si>
    <t>item_equip_n_ac_02</t>
  </si>
  <si>
    <t>item_equip_n_ac_03</t>
  </si>
  <si>
    <t>item_equip_n_ac_04</t>
  </si>
  <si>
    <t>item_equip_n_bo_02</t>
  </si>
  <si>
    <t>item_equip_n_bo_03</t>
  </si>
  <si>
    <t>item_equip_n_bo_04</t>
  </si>
  <si>
    <t>item_equip_n_we_02</t>
  </si>
  <si>
    <t>item_equip_n_we_03</t>
  </si>
  <si>
    <t>item_equip_n_we_04</t>
  </si>
  <si>
    <t>item_equip_n_we_05</t>
  </si>
  <si>
    <t>item_equip_n_we_06</t>
  </si>
  <si>
    <t>item_equip_n_we_07</t>
  </si>
  <si>
    <t>Id</t>
  </si>
  <si>
    <t>dev_name</t>
  </si>
  <si>
    <t>Name</t>
  </si>
  <si>
    <t>Grade</t>
  </si>
  <si>
    <t>Type</t>
  </si>
  <si>
    <t>Slot_Idx</t>
  </si>
  <si>
    <t>SATK</t>
  </si>
  <si>
    <t>LATK</t>
  </si>
  <si>
    <t>DEF</t>
  </si>
  <si>
    <t>ASPD</t>
  </si>
  <si>
    <t>SPD</t>
  </si>
  <si>
    <t>HP</t>
  </si>
  <si>
    <t>낡은 갑옷</t>
  </si>
  <si>
    <t>item_equip_n_ar_01</t>
  </si>
  <si>
    <t>가죽 갑옷</t>
  </si>
  <si>
    <t>강화 가죽 갑옷</t>
  </si>
  <si>
    <t>레어 가죽 갑옷</t>
  </si>
  <si>
    <t>가죽 튜닉</t>
  </si>
  <si>
    <t>강화 가죽 튜닉</t>
  </si>
  <si>
    <t>레어 가죽 튜닉</t>
  </si>
  <si>
    <t>item_equip_n_ac_01</t>
  </si>
  <si>
    <t>낡은 부츠</t>
  </si>
  <si>
    <t>item_equip_n_bo_01</t>
  </si>
  <si>
    <t>가죽 부츠</t>
  </si>
  <si>
    <t>강화 가죽 부츠</t>
  </si>
  <si>
    <t>레어 가죽 부츠</t>
  </si>
  <si>
    <t>낡은 검</t>
  </si>
  <si>
    <t>item_equip_n_we_01</t>
  </si>
  <si>
    <t>DPS</t>
    <phoneticPr fontId="2" type="noConversion"/>
  </si>
  <si>
    <t>Option</t>
    <phoneticPr fontId="2" type="noConversion"/>
  </si>
  <si>
    <t>X</t>
  </si>
  <si>
    <t>X</t>
    <phoneticPr fontId="2" type="noConversion"/>
  </si>
  <si>
    <t>O</t>
  </si>
  <si>
    <t>O</t>
    <phoneticPr fontId="2" type="noConversion"/>
  </si>
  <si>
    <t>item_equip_n_we_08</t>
  </si>
  <si>
    <t>item_equip_n_we_09</t>
  </si>
  <si>
    <t>item_equip_n_we_10</t>
  </si>
  <si>
    <t>item_equip_n_we_12</t>
  </si>
  <si>
    <t>item_equip_n_we_13</t>
  </si>
  <si>
    <t>item_equip_n_we_14</t>
  </si>
  <si>
    <t>item_equip_n_we_15</t>
  </si>
  <si>
    <t>item_equip_n_we_16</t>
  </si>
  <si>
    <t>item_equip_n_we_17</t>
  </si>
  <si>
    <t>item_equip_n_we_18</t>
  </si>
  <si>
    <t>item_equip_n_we_19</t>
  </si>
  <si>
    <t>item_equip_n_we_21</t>
  </si>
  <si>
    <t>item_equip_n_we_22</t>
  </si>
  <si>
    <t>item_equip_n_we_23</t>
  </si>
  <si>
    <t>item_equip_n_we_24</t>
  </si>
  <si>
    <t>item_equip_n_we_25</t>
  </si>
  <si>
    <t>item_equip_n_we_26</t>
  </si>
  <si>
    <t>item_equip_n_we_27</t>
  </si>
  <si>
    <t>item_equip_n_we_28</t>
  </si>
  <si>
    <t>C등급 검 01</t>
    <phoneticPr fontId="2" type="noConversion"/>
  </si>
  <si>
    <t>C등급 지팡이 01</t>
    <phoneticPr fontId="2" type="noConversion"/>
  </si>
  <si>
    <t>C등급 검 02</t>
  </si>
  <si>
    <t>C등급 검 03</t>
  </si>
  <si>
    <t>C등급 지팡이 02</t>
  </si>
  <si>
    <t>C등급 지팡이 03</t>
  </si>
  <si>
    <t>B등급 검 01</t>
  </si>
  <si>
    <t>B등급 검 02</t>
  </si>
  <si>
    <t>B등급 검 03</t>
  </si>
  <si>
    <t>B등급 지팡이 01</t>
  </si>
  <si>
    <t>B등급 지팡이 02</t>
  </si>
  <si>
    <t>B등급 지팡이 03</t>
  </si>
  <si>
    <t>A등급 검 01</t>
  </si>
  <si>
    <t>A등급 검 02</t>
  </si>
  <si>
    <t>A등급 검 03</t>
  </si>
  <si>
    <t>A등급 지팡이 01</t>
  </si>
  <si>
    <t>A등급 지팡이 02</t>
  </si>
  <si>
    <t>A등급 지팡이 03</t>
  </si>
  <si>
    <t>C등급 단검 01</t>
    <phoneticPr fontId="2" type="noConversion"/>
  </si>
  <si>
    <t>C등급 단검 02</t>
  </si>
  <si>
    <t>C등급 단검 03</t>
  </si>
  <si>
    <t>B등급 단검 01</t>
  </si>
  <si>
    <t>B등급 단검 02</t>
  </si>
  <si>
    <t>B등급 단검 03</t>
  </si>
  <si>
    <t>A등급 단검 01</t>
  </si>
  <si>
    <t>A등급 단검 02</t>
  </si>
  <si>
    <t>A등급 단검 03</t>
  </si>
  <si>
    <t>item_equip_n_we_11</t>
    <phoneticPr fontId="2" type="noConversion"/>
  </si>
  <si>
    <t>item_equip_n_we_20</t>
    <phoneticPr fontId="2" type="noConversion"/>
  </si>
  <si>
    <t>item_equip_n_we_29</t>
    <phoneticPr fontId="2" type="noConversion"/>
  </si>
  <si>
    <t>item_equip_n_we_30</t>
  </si>
  <si>
    <t>item_equip_n_we_31</t>
  </si>
  <si>
    <t>item_equip_n_we_32</t>
  </si>
  <si>
    <t>item_equip_n_we_33</t>
  </si>
  <si>
    <t>item_equip_n_we_34</t>
  </si>
  <si>
    <t>item_equip_n_we_35</t>
  </si>
  <si>
    <t>item_equip_n_we_36</t>
  </si>
  <si>
    <t>item_equip_n_we_37</t>
  </si>
  <si>
    <t>Option</t>
    <phoneticPr fontId="2" type="noConversion"/>
  </si>
  <si>
    <t>Option</t>
    <phoneticPr fontId="2" type="noConversion"/>
  </si>
  <si>
    <t>X</t>
    <phoneticPr fontId="2" type="noConversion"/>
  </si>
  <si>
    <t>item_equip_n_bo_05</t>
    <phoneticPr fontId="2" type="noConversion"/>
  </si>
  <si>
    <t>item_equip_n_bo_06</t>
  </si>
  <si>
    <t>item_equip_n_bo_07</t>
  </si>
  <si>
    <t>item_equip_n_bo_08</t>
    <phoneticPr fontId="2" type="noConversion"/>
  </si>
  <si>
    <t>item_equip_n_bo_09</t>
  </si>
  <si>
    <t>item_equip_n_bo_10</t>
  </si>
  <si>
    <t>item_equip_n_bo_11</t>
    <phoneticPr fontId="2" type="noConversion"/>
  </si>
  <si>
    <t>item_equip_n_bo_12</t>
  </si>
  <si>
    <t>item_equip_n_bo_13</t>
  </si>
  <si>
    <t>item_equip_n_ar_08</t>
    <phoneticPr fontId="2" type="noConversion"/>
  </si>
  <si>
    <t>item_equip_n_ar_09</t>
  </si>
  <si>
    <t>item_equip_n_ar_10</t>
  </si>
  <si>
    <t>item_equip_n_ar_11</t>
  </si>
  <si>
    <t>item_equip_n_ar_12</t>
  </si>
  <si>
    <t>item_equip_n_ar_13</t>
  </si>
  <si>
    <t>item_equip_n_ar_14</t>
    <phoneticPr fontId="2" type="noConversion"/>
  </si>
  <si>
    <t>item_equip_n_ar_15</t>
  </si>
  <si>
    <t>item_equip_n_ar_16</t>
  </si>
  <si>
    <t>item_equip_n_ar_17</t>
  </si>
  <si>
    <t>item_equip_n_ar_18</t>
  </si>
  <si>
    <t>item_equip_n_ar_19</t>
  </si>
  <si>
    <t>item_equip_n_ar_20</t>
    <phoneticPr fontId="2" type="noConversion"/>
  </si>
  <si>
    <t>item_equip_n_ar_21</t>
  </si>
  <si>
    <t>item_equip_n_ar_22</t>
  </si>
  <si>
    <t>item_equip_n_ar_23</t>
  </si>
  <si>
    <t>item_equip_n_ar_24</t>
  </si>
  <si>
    <t>item_equip_n_ar_25</t>
  </si>
  <si>
    <t>C등급 갑옷 01</t>
  </si>
  <si>
    <t>C등급 갑옷 02</t>
  </si>
  <si>
    <t>C등급 갑옷 03</t>
  </si>
  <si>
    <t>C등급 튜닉 01</t>
  </si>
  <si>
    <t>C등급 튜닉 02</t>
  </si>
  <si>
    <t>C등급 튜닉 03</t>
  </si>
  <si>
    <t>B등급 갑옷 01</t>
  </si>
  <si>
    <t>B등급 갑옷 02</t>
  </si>
  <si>
    <t>B등급 갑옷 03</t>
  </si>
  <si>
    <t>B등급 튜닉 01</t>
  </si>
  <si>
    <t>B등급 튜닉 02</t>
  </si>
  <si>
    <t>B등급 튜닉 03</t>
  </si>
  <si>
    <t>A등급 갑옷 01</t>
  </si>
  <si>
    <t>A등급 갑옷 02</t>
  </si>
  <si>
    <t>A등급 갑옷 03</t>
  </si>
  <si>
    <t>A등급 튜닉 01</t>
  </si>
  <si>
    <t>A등급 튜닉 02</t>
  </si>
  <si>
    <t>A등급 튜닉 03</t>
  </si>
  <si>
    <t>item_equip_n_ac_05</t>
  </si>
  <si>
    <t>item_equip_n_ac_06</t>
  </si>
  <si>
    <t>item_equip_n_ac_07</t>
  </si>
  <si>
    <t>item_equip_n_ac_08</t>
  </si>
  <si>
    <t>item_equip_n_ac_09</t>
  </si>
  <si>
    <t>item_equip_n_ac_10</t>
  </si>
  <si>
    <t>item_equip_n_ac_11</t>
  </si>
  <si>
    <t>item_equip_n_ac_12</t>
  </si>
  <si>
    <t>item_equip_n_ac_13</t>
  </si>
  <si>
    <t>C등급 부츠 01</t>
  </si>
  <si>
    <t>C등급 부츠 02</t>
  </si>
  <si>
    <t>C등급 부츠 03</t>
  </si>
  <si>
    <t>B등급 부츠 01</t>
  </si>
  <si>
    <t>B등급 부츠 02</t>
  </si>
  <si>
    <t>B등급 부츠 03</t>
  </si>
  <si>
    <t>A등급 부츠 01</t>
  </si>
  <si>
    <t>A등급 부츠 02</t>
  </si>
  <si>
    <t>A등급 부츠 03</t>
  </si>
  <si>
    <t>Price</t>
    <phoneticPr fontId="2" type="noConversion"/>
  </si>
  <si>
    <t>맵 보상 기준</t>
    <phoneticPr fontId="2" type="noConversion"/>
  </si>
  <si>
    <t>플레이 횟수</t>
    <phoneticPr fontId="2" type="noConversion"/>
  </si>
  <si>
    <t>기준 가격</t>
    <phoneticPr fontId="2" type="noConversion"/>
  </si>
  <si>
    <t>방어구</t>
    <phoneticPr fontId="2" type="noConversion"/>
  </si>
  <si>
    <t>악세</t>
    <phoneticPr fontId="2" type="noConversion"/>
  </si>
  <si>
    <t>신발</t>
    <phoneticPr fontId="2" type="noConversion"/>
  </si>
  <si>
    <t>물약</t>
    <phoneticPr fontId="2" type="noConversion"/>
  </si>
  <si>
    <t>희귀도</t>
    <phoneticPr fontId="2" type="noConversion"/>
  </si>
  <si>
    <t>희귀도</t>
    <phoneticPr fontId="2" type="noConversion"/>
  </si>
  <si>
    <t>가격</t>
    <phoneticPr fontId="2" type="noConversion"/>
  </si>
  <si>
    <t>무기</t>
    <phoneticPr fontId="2" type="noConversion"/>
  </si>
  <si>
    <t>D등급 검 01</t>
  </si>
  <si>
    <t>D등급 검 02</t>
  </si>
  <si>
    <t>D등급 검 03</t>
  </si>
  <si>
    <t>D등급 지팡이 01</t>
  </si>
  <si>
    <t>D등급 지팡이 02</t>
  </si>
  <si>
    <t>D등급 지팡이 03</t>
  </si>
  <si>
    <t>D등급 단검 01</t>
  </si>
  <si>
    <t>D등급 단검 02</t>
  </si>
  <si>
    <t>D등급 단검 03</t>
  </si>
  <si>
    <t>등급가치</t>
    <phoneticPr fontId="2" type="noConversion"/>
  </si>
  <si>
    <t>C등급 활 02</t>
  </si>
  <si>
    <t>C등급 활 03</t>
  </si>
  <si>
    <t>D등급 활 01</t>
    <phoneticPr fontId="2" type="noConversion"/>
  </si>
  <si>
    <t>D등급 활 02</t>
  </si>
  <si>
    <t>D등급 활 03</t>
  </si>
  <si>
    <t>item_equip_n_we_38</t>
    <phoneticPr fontId="2" type="noConversion"/>
  </si>
  <si>
    <t>item_equip_n_we_39</t>
  </si>
  <si>
    <t>item_equip_n_we_40</t>
  </si>
  <si>
    <t>item_equip_n_we_41</t>
  </si>
  <si>
    <t>item_equip_n_we_42</t>
  </si>
  <si>
    <t>item_equip_n_we_43</t>
  </si>
  <si>
    <t>item_equip_n_we_44</t>
  </si>
  <si>
    <t>item_equip_n_we_45</t>
  </si>
  <si>
    <t>item_equip_n_we_46</t>
  </si>
  <si>
    <t>item_equip_n_we_47</t>
  </si>
  <si>
    <t>item_equip_n_we_48</t>
  </si>
  <si>
    <t>item_equip_n_we_49</t>
  </si>
  <si>
    <t>X</t>
    <phoneticPr fontId="2" type="noConversion"/>
  </si>
  <si>
    <t>C등급 활 01</t>
    <phoneticPr fontId="2" type="noConversion"/>
  </si>
  <si>
    <t>B등급 활 01</t>
    <phoneticPr fontId="2" type="noConversion"/>
  </si>
  <si>
    <t>B등급 활 02</t>
  </si>
  <si>
    <t>B등급 활 03</t>
  </si>
  <si>
    <t>A등급 활 01</t>
    <phoneticPr fontId="2" type="noConversion"/>
  </si>
  <si>
    <t>A등급 활 02</t>
  </si>
  <si>
    <t>A등급 활 03</t>
  </si>
  <si>
    <t>기본 장신구</t>
    <phoneticPr fontId="2" type="noConversion"/>
  </si>
  <si>
    <t>D등급 장신구 01</t>
    <phoneticPr fontId="2" type="noConversion"/>
  </si>
  <si>
    <t>D등급 장신구 02</t>
  </si>
  <si>
    <t>D등급 장신구 03</t>
  </si>
  <si>
    <t>C등급 장신구 01</t>
  </si>
  <si>
    <t>C등급 장신구 02</t>
  </si>
  <si>
    <t>C등급 장신구 03</t>
  </si>
  <si>
    <t>B등급 장신구 01</t>
  </si>
  <si>
    <t>B등급 장신구 02</t>
  </si>
  <si>
    <t>B등급 장신구 03</t>
  </si>
  <si>
    <t>A등급 장신구 01</t>
  </si>
  <si>
    <t>A등급 장신구 02</t>
  </si>
  <si>
    <t>A등급 장신구 03</t>
  </si>
  <si>
    <t>B등급 레어 장신구 01</t>
    <phoneticPr fontId="2" type="noConversion"/>
  </si>
  <si>
    <t>B등급 레어 장신구 02</t>
  </si>
  <si>
    <t>B등급 레어 장신구 03</t>
  </si>
  <si>
    <t>item_equip_r_ac_01</t>
    <phoneticPr fontId="2" type="noConversion"/>
  </si>
  <si>
    <t>item_equip_r_ac_02</t>
  </si>
  <si>
    <t>item_equip_r_ac_03</t>
  </si>
  <si>
    <t>O</t>
    <phoneticPr fontId="2" type="noConversion"/>
  </si>
  <si>
    <t>B등급 레어 장신구 04</t>
  </si>
  <si>
    <t>item_equip_r_ac_04</t>
  </si>
  <si>
    <t>B등급 레어 장신구 05</t>
  </si>
  <si>
    <t>item_equip_r_ac_05</t>
  </si>
  <si>
    <t>A등급 레어 장신구 01</t>
    <phoneticPr fontId="2" type="noConversion"/>
  </si>
  <si>
    <t>item_equip_r_ac_06</t>
    <phoneticPr fontId="2" type="noConversion"/>
  </si>
  <si>
    <t>A등급 레어 장신구 02</t>
  </si>
  <si>
    <t>item_equip_r_ac_07</t>
  </si>
  <si>
    <t>A등급 레어 장신구 03</t>
  </si>
  <si>
    <t>item_equip_r_ac_08</t>
  </si>
  <si>
    <t>A등급 레어 장신구 04</t>
  </si>
  <si>
    <t>item_equip_r_ac_09</t>
  </si>
  <si>
    <t>A등급 레어 장신구 05</t>
  </si>
  <si>
    <t>item_equip_r_ac_10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</si>
</sst>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A10" workbookViewId="0">
      <selection activeCell="O55" sqref="O55"/>
    </sheetView>
  </sheetViews>
  <sheetFormatPr defaultRowHeight="16.5" x14ac:dyDescent="0.3"/>
  <cols>
    <col min="2" max="2" width="18.625" bestFit="1" customWidth="1"/>
    <col min="3" max="3" width="19.5" bestFit="1" customWidth="1"/>
  </cols>
  <sheetData>
    <row r="1" spans="1:17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48</v>
      </c>
      <c r="N1" s="6" t="s">
        <v>184</v>
      </c>
      <c r="O1" s="6" t="s">
        <v>176</v>
      </c>
      <c r="P1" s="9" t="s">
        <v>47</v>
      </c>
      <c r="Q1" s="9"/>
    </row>
    <row r="2" spans="1:17" x14ac:dyDescent="0.3">
      <c r="A2" s="4">
        <v>34000</v>
      </c>
      <c r="B2" s="4" t="s">
        <v>45</v>
      </c>
      <c r="C2" s="4" t="s">
        <v>46</v>
      </c>
      <c r="D2" s="4">
        <v>0</v>
      </c>
      <c r="E2" s="4" t="s">
        <v>0</v>
      </c>
      <c r="F2" s="4">
        <v>0</v>
      </c>
      <c r="G2" s="4">
        <v>2</v>
      </c>
      <c r="H2" s="4">
        <v>2</v>
      </c>
      <c r="I2" s="4">
        <v>0</v>
      </c>
      <c r="J2" s="4">
        <v>1200</v>
      </c>
      <c r="K2" s="4">
        <v>0</v>
      </c>
      <c r="L2" s="4">
        <v>0</v>
      </c>
      <c r="M2" s="4" t="s">
        <v>50</v>
      </c>
      <c r="N2" s="4">
        <v>1</v>
      </c>
      <c r="O2" s="4">
        <f>ROUNDUP(참조!$C$2 * VLOOKUP("무기",참조!$E:$I,N2+1,FALSE)*POWER(참조!$A$5,D2-1),-1)</f>
        <v>750</v>
      </c>
      <c r="P2" s="5">
        <f>G2*1000/$J2</f>
        <v>1.6666666666666667</v>
      </c>
      <c r="Q2" s="5">
        <f>H2*1000/$J2</f>
        <v>1.6666666666666667</v>
      </c>
    </row>
    <row r="3" spans="1:17" x14ac:dyDescent="0.3">
      <c r="A3">
        <v>34001</v>
      </c>
      <c r="B3" t="s">
        <v>188</v>
      </c>
      <c r="C3" t="s">
        <v>13</v>
      </c>
      <c r="D3">
        <v>1</v>
      </c>
      <c r="E3" t="s">
        <v>0</v>
      </c>
      <c r="F3">
        <v>0</v>
      </c>
      <c r="G3">
        <v>3</v>
      </c>
      <c r="H3">
        <v>2</v>
      </c>
      <c r="I3">
        <v>0</v>
      </c>
      <c r="J3">
        <v>1200</v>
      </c>
      <c r="K3">
        <v>0</v>
      </c>
      <c r="L3">
        <v>0</v>
      </c>
      <c r="M3" t="s">
        <v>50</v>
      </c>
      <c r="N3">
        <v>1</v>
      </c>
      <c r="O3">
        <f>ROUNDUP(참조!$C$2 * VLOOKUP("무기",참조!$E:$I,N3+1,FALSE)*POWER(참조!$A$5,D3-1),-1)</f>
        <v>7500</v>
      </c>
      <c r="P3" s="1">
        <f t="shared" ref="P3:P8" si="0">G3*1000/$J3</f>
        <v>2.5</v>
      </c>
      <c r="Q3" s="1">
        <f t="shared" ref="Q3:Q8" si="1">H3*1000/$J3</f>
        <v>1.6666666666666667</v>
      </c>
    </row>
    <row r="4" spans="1:17" x14ac:dyDescent="0.3">
      <c r="A4">
        <v>34002</v>
      </c>
      <c r="B4" t="s">
        <v>189</v>
      </c>
      <c r="C4" t="s">
        <v>14</v>
      </c>
      <c r="D4">
        <v>1</v>
      </c>
      <c r="E4" t="s">
        <v>0</v>
      </c>
      <c r="F4">
        <v>0</v>
      </c>
      <c r="G4">
        <v>4</v>
      </c>
      <c r="H4">
        <v>2</v>
      </c>
      <c r="I4">
        <v>0</v>
      </c>
      <c r="J4">
        <v>1200</v>
      </c>
      <c r="K4">
        <v>0</v>
      </c>
      <c r="L4">
        <v>0</v>
      </c>
      <c r="M4" t="s">
        <v>50</v>
      </c>
      <c r="N4">
        <v>2</v>
      </c>
      <c r="O4">
        <f>ROUNDUP(참조!$C$2 * VLOOKUP("무기",참조!$E:$I,N4+1,FALSE)*POWER(참조!$A$5,D4-1),-1)</f>
        <v>11250</v>
      </c>
      <c r="P4" s="1">
        <f t="shared" si="0"/>
        <v>3.3333333333333335</v>
      </c>
      <c r="Q4" s="1">
        <f t="shared" si="1"/>
        <v>1.6666666666666667</v>
      </c>
    </row>
    <row r="5" spans="1:17" x14ac:dyDescent="0.3">
      <c r="A5">
        <v>34003</v>
      </c>
      <c r="B5" t="s">
        <v>190</v>
      </c>
      <c r="C5" t="s">
        <v>15</v>
      </c>
      <c r="D5">
        <v>1</v>
      </c>
      <c r="E5" t="s">
        <v>0</v>
      </c>
      <c r="F5">
        <v>0</v>
      </c>
      <c r="G5">
        <v>4</v>
      </c>
      <c r="H5">
        <v>2</v>
      </c>
      <c r="I5">
        <v>0</v>
      </c>
      <c r="J5">
        <v>1150</v>
      </c>
      <c r="K5">
        <v>0</v>
      </c>
      <c r="L5">
        <v>0</v>
      </c>
      <c r="M5" t="s">
        <v>52</v>
      </c>
      <c r="N5">
        <v>3</v>
      </c>
      <c r="O5">
        <f>ROUNDUP(참조!$C$2 * VLOOKUP("무기",참조!$E:$I,N5+1,FALSE)*POWER(참조!$A$5,D5-1),-1)</f>
        <v>15000</v>
      </c>
      <c r="P5" s="1">
        <f t="shared" si="0"/>
        <v>3.4782608695652173</v>
      </c>
      <c r="Q5" s="1">
        <f t="shared" si="1"/>
        <v>1.7391304347826086</v>
      </c>
    </row>
    <row r="6" spans="1:17" x14ac:dyDescent="0.3">
      <c r="A6">
        <v>34004</v>
      </c>
      <c r="B6" t="s">
        <v>191</v>
      </c>
      <c r="C6" t="s">
        <v>16</v>
      </c>
      <c r="D6">
        <v>1</v>
      </c>
      <c r="E6" t="s">
        <v>0</v>
      </c>
      <c r="F6">
        <v>0</v>
      </c>
      <c r="G6">
        <v>2</v>
      </c>
      <c r="H6">
        <v>3</v>
      </c>
      <c r="I6">
        <v>0</v>
      </c>
      <c r="J6">
        <v>1400</v>
      </c>
      <c r="K6">
        <v>0</v>
      </c>
      <c r="L6">
        <v>0</v>
      </c>
      <c r="M6" t="s">
        <v>50</v>
      </c>
      <c r="N6">
        <v>1</v>
      </c>
      <c r="O6">
        <f>ROUNDUP(참조!$C$2 * VLOOKUP("무기",참조!$E:$I,N6+1,FALSE)*POWER(참조!$A$5,D6-1),-1)</f>
        <v>7500</v>
      </c>
      <c r="P6" s="1">
        <f t="shared" si="0"/>
        <v>1.4285714285714286</v>
      </c>
      <c r="Q6" s="1">
        <f t="shared" si="1"/>
        <v>2.1428571428571428</v>
      </c>
    </row>
    <row r="7" spans="1:17" x14ac:dyDescent="0.3">
      <c r="A7">
        <v>34005</v>
      </c>
      <c r="B7" t="s">
        <v>192</v>
      </c>
      <c r="C7" t="s">
        <v>17</v>
      </c>
      <c r="D7">
        <v>1</v>
      </c>
      <c r="E7" t="s">
        <v>0</v>
      </c>
      <c r="F7">
        <v>0</v>
      </c>
      <c r="G7">
        <v>2</v>
      </c>
      <c r="H7">
        <v>4</v>
      </c>
      <c r="I7">
        <v>0</v>
      </c>
      <c r="J7">
        <v>1400</v>
      </c>
      <c r="K7">
        <v>0</v>
      </c>
      <c r="L7">
        <v>0</v>
      </c>
      <c r="M7" t="s">
        <v>50</v>
      </c>
      <c r="N7">
        <v>2</v>
      </c>
      <c r="O7">
        <f>ROUNDUP(참조!$C$2 * VLOOKUP("무기",참조!$E:$I,N7+1,FALSE)*POWER(참조!$A$5,D7-1),-1)</f>
        <v>11250</v>
      </c>
      <c r="P7" s="1">
        <f t="shared" si="0"/>
        <v>1.4285714285714286</v>
      </c>
      <c r="Q7" s="1">
        <f t="shared" si="1"/>
        <v>2.8571428571428572</v>
      </c>
    </row>
    <row r="8" spans="1:17" x14ac:dyDescent="0.3">
      <c r="A8">
        <v>34006</v>
      </c>
      <c r="B8" t="s">
        <v>193</v>
      </c>
      <c r="C8" t="s">
        <v>18</v>
      </c>
      <c r="D8">
        <v>1</v>
      </c>
      <c r="E8" t="s">
        <v>0</v>
      </c>
      <c r="F8">
        <v>0</v>
      </c>
      <c r="G8">
        <v>2</v>
      </c>
      <c r="H8">
        <v>4</v>
      </c>
      <c r="I8">
        <v>0</v>
      </c>
      <c r="J8">
        <v>1350</v>
      </c>
      <c r="K8">
        <v>0</v>
      </c>
      <c r="L8">
        <v>0</v>
      </c>
      <c r="M8" t="s">
        <v>52</v>
      </c>
      <c r="N8">
        <v>3</v>
      </c>
      <c r="O8">
        <f>ROUNDUP(참조!$C$2 * VLOOKUP("무기",참조!$E:$I,N8+1,FALSE)*POWER(참조!$A$5,D8-1),-1)</f>
        <v>15000</v>
      </c>
      <c r="P8" s="1">
        <f t="shared" si="0"/>
        <v>1.4814814814814814</v>
      </c>
      <c r="Q8" s="1">
        <f t="shared" si="1"/>
        <v>2.9629629629629628</v>
      </c>
    </row>
    <row r="9" spans="1:17" x14ac:dyDescent="0.3">
      <c r="A9">
        <v>34007</v>
      </c>
      <c r="B9" t="s">
        <v>194</v>
      </c>
      <c r="C9" t="s">
        <v>53</v>
      </c>
      <c r="D9">
        <v>1</v>
      </c>
      <c r="E9" t="s">
        <v>0</v>
      </c>
      <c r="F9">
        <v>0</v>
      </c>
      <c r="G9">
        <v>2</v>
      </c>
      <c r="H9">
        <v>1</v>
      </c>
      <c r="I9">
        <v>0</v>
      </c>
      <c r="J9">
        <v>900</v>
      </c>
      <c r="K9">
        <v>0</v>
      </c>
      <c r="L9">
        <v>0</v>
      </c>
      <c r="M9" t="s">
        <v>50</v>
      </c>
      <c r="N9">
        <v>1</v>
      </c>
      <c r="O9">
        <f>ROUNDUP(참조!$C$2 * VLOOKUP("무기",참조!$E:$I,N9+1,FALSE)*POWER(참조!$A$5,D9-1),-1)</f>
        <v>7500</v>
      </c>
      <c r="P9" s="1">
        <f t="shared" ref="P9:P11" si="2">G9*1000/$J9</f>
        <v>2.2222222222222223</v>
      </c>
      <c r="Q9" s="1">
        <f t="shared" ref="Q9:Q11" si="3">H9*1000/$J9</f>
        <v>1.1111111111111112</v>
      </c>
    </row>
    <row r="10" spans="1:17" x14ac:dyDescent="0.3">
      <c r="A10">
        <v>34008</v>
      </c>
      <c r="B10" t="s">
        <v>195</v>
      </c>
      <c r="C10" t="s">
        <v>54</v>
      </c>
      <c r="D10">
        <v>1</v>
      </c>
      <c r="E10" t="s">
        <v>0</v>
      </c>
      <c r="F10">
        <v>0</v>
      </c>
      <c r="G10">
        <v>2</v>
      </c>
      <c r="H10">
        <v>1</v>
      </c>
      <c r="I10">
        <v>0</v>
      </c>
      <c r="J10">
        <v>800</v>
      </c>
      <c r="K10">
        <v>0</v>
      </c>
      <c r="L10">
        <v>0</v>
      </c>
      <c r="M10" t="s">
        <v>50</v>
      </c>
      <c r="N10">
        <v>2</v>
      </c>
      <c r="O10">
        <f>ROUNDUP(참조!$C$2 * VLOOKUP("무기",참조!$E:$I,N10+1,FALSE)*POWER(참조!$A$5,D10-1),-1)</f>
        <v>11250</v>
      </c>
      <c r="P10" s="1">
        <f t="shared" si="2"/>
        <v>2.5</v>
      </c>
      <c r="Q10" s="1">
        <f t="shared" si="3"/>
        <v>1.25</v>
      </c>
    </row>
    <row r="11" spans="1:17" x14ac:dyDescent="0.3">
      <c r="A11">
        <v>34009</v>
      </c>
      <c r="B11" t="s">
        <v>196</v>
      </c>
      <c r="C11" t="s">
        <v>55</v>
      </c>
      <c r="D11">
        <v>1</v>
      </c>
      <c r="E11" t="s">
        <v>0</v>
      </c>
      <c r="F11">
        <v>0</v>
      </c>
      <c r="G11">
        <v>2</v>
      </c>
      <c r="H11">
        <v>1</v>
      </c>
      <c r="I11">
        <v>0</v>
      </c>
      <c r="J11">
        <v>750</v>
      </c>
      <c r="K11">
        <v>0</v>
      </c>
      <c r="L11">
        <v>0</v>
      </c>
      <c r="M11" t="s">
        <v>52</v>
      </c>
      <c r="N11">
        <v>3</v>
      </c>
      <c r="O11">
        <f>ROUNDUP(참조!$C$2 * VLOOKUP("무기",참조!$E:$I,N11+1,FALSE)*POWER(참조!$A$5,D11-1),-1)</f>
        <v>15000</v>
      </c>
      <c r="P11" s="1">
        <f t="shared" si="2"/>
        <v>2.6666666666666665</v>
      </c>
      <c r="Q11" s="1">
        <f t="shared" si="3"/>
        <v>1.3333333333333333</v>
      </c>
    </row>
    <row r="12" spans="1:17" x14ac:dyDescent="0.3">
      <c r="A12" s="2">
        <v>34010</v>
      </c>
      <c r="B12" s="2" t="s">
        <v>72</v>
      </c>
      <c r="C12" s="2" t="s">
        <v>99</v>
      </c>
      <c r="D12" s="2">
        <v>2</v>
      </c>
      <c r="E12" s="2" t="s">
        <v>0</v>
      </c>
      <c r="F12" s="2">
        <v>0</v>
      </c>
      <c r="G12" s="2">
        <v>5</v>
      </c>
      <c r="H12" s="2">
        <v>3</v>
      </c>
      <c r="I12" s="2">
        <v>0</v>
      </c>
      <c r="J12" s="2">
        <v>1200</v>
      </c>
      <c r="K12" s="2">
        <v>0</v>
      </c>
      <c r="L12" s="2">
        <v>0</v>
      </c>
      <c r="M12" s="2" t="s">
        <v>49</v>
      </c>
      <c r="N12" s="2">
        <v>1</v>
      </c>
      <c r="O12" s="2">
        <f>ROUNDUP(참조!$C$2 * VLOOKUP("무기",참조!$E:$I,N12+1,FALSE)*POWER(참조!$A$5,D12-1),-1)</f>
        <v>75000</v>
      </c>
      <c r="P12" s="3">
        <f t="shared" ref="P12:P35" si="4">G12*1000/$J12</f>
        <v>4.166666666666667</v>
      </c>
      <c r="Q12" s="3">
        <f t="shared" ref="Q12:Q35" si="5">H12*1000/$J12</f>
        <v>2.5</v>
      </c>
    </row>
    <row r="13" spans="1:17" x14ac:dyDescent="0.3">
      <c r="A13" s="2">
        <v>34011</v>
      </c>
      <c r="B13" s="2" t="s">
        <v>74</v>
      </c>
      <c r="C13" s="2" t="s">
        <v>56</v>
      </c>
      <c r="D13" s="2">
        <v>2</v>
      </c>
      <c r="E13" s="2" t="s">
        <v>0</v>
      </c>
      <c r="F13" s="2">
        <v>0</v>
      </c>
      <c r="G13" s="2">
        <v>6</v>
      </c>
      <c r="H13" s="2">
        <v>3</v>
      </c>
      <c r="I13" s="2">
        <v>0</v>
      </c>
      <c r="J13" s="2">
        <v>1200</v>
      </c>
      <c r="K13" s="2">
        <v>0</v>
      </c>
      <c r="L13" s="2">
        <v>0</v>
      </c>
      <c r="M13" s="2" t="s">
        <v>49</v>
      </c>
      <c r="N13" s="2">
        <v>2</v>
      </c>
      <c r="O13" s="2">
        <f>ROUNDUP(참조!$C$2 * VLOOKUP("무기",참조!$E:$I,N13+1,FALSE)*POWER(참조!$A$5,D13-1),-1)</f>
        <v>112500</v>
      </c>
      <c r="P13" s="3">
        <f t="shared" si="4"/>
        <v>5</v>
      </c>
      <c r="Q13" s="3">
        <f t="shared" si="5"/>
        <v>2.5</v>
      </c>
    </row>
    <row r="14" spans="1:17" x14ac:dyDescent="0.3">
      <c r="A14" s="2">
        <v>34012</v>
      </c>
      <c r="B14" s="2" t="s">
        <v>75</v>
      </c>
      <c r="C14" s="2" t="s">
        <v>57</v>
      </c>
      <c r="D14" s="2">
        <v>2</v>
      </c>
      <c r="E14" s="2" t="s">
        <v>0</v>
      </c>
      <c r="F14" s="2">
        <v>0</v>
      </c>
      <c r="G14" s="2">
        <v>6</v>
      </c>
      <c r="H14" s="2">
        <v>3</v>
      </c>
      <c r="I14" s="2">
        <v>0</v>
      </c>
      <c r="J14" s="2">
        <v>1150</v>
      </c>
      <c r="K14" s="2">
        <v>0</v>
      </c>
      <c r="L14" s="2">
        <v>0</v>
      </c>
      <c r="M14" s="2" t="s">
        <v>51</v>
      </c>
      <c r="N14" s="2">
        <v>3</v>
      </c>
      <c r="O14" s="2">
        <f>ROUNDUP(참조!$C$2 * VLOOKUP("무기",참조!$E:$I,N14+1,FALSE)*POWER(참조!$A$5,D14-1),-1)</f>
        <v>150000</v>
      </c>
      <c r="P14" s="3">
        <f t="shared" si="4"/>
        <v>5.2173913043478262</v>
      </c>
      <c r="Q14" s="3">
        <f t="shared" si="5"/>
        <v>2.6086956521739131</v>
      </c>
    </row>
    <row r="15" spans="1:17" x14ac:dyDescent="0.3">
      <c r="A15" s="2">
        <v>34013</v>
      </c>
      <c r="B15" s="2" t="s">
        <v>73</v>
      </c>
      <c r="C15" s="2" t="s">
        <v>58</v>
      </c>
      <c r="D15" s="2">
        <v>2</v>
      </c>
      <c r="E15" s="2" t="s">
        <v>0</v>
      </c>
      <c r="F15" s="2">
        <v>0</v>
      </c>
      <c r="G15" s="2">
        <v>3</v>
      </c>
      <c r="H15" s="2">
        <v>5</v>
      </c>
      <c r="I15" s="2">
        <v>0</v>
      </c>
      <c r="J15" s="2">
        <v>1400</v>
      </c>
      <c r="K15" s="2">
        <v>0</v>
      </c>
      <c r="L15" s="2">
        <v>0</v>
      </c>
      <c r="M15" s="2" t="s">
        <v>49</v>
      </c>
      <c r="N15" s="2">
        <v>1</v>
      </c>
      <c r="O15" s="2">
        <f>ROUNDUP(참조!$C$2 * VLOOKUP("무기",참조!$E:$I,N15+1,FALSE)*POWER(참조!$A$5,D15-1),-1)</f>
        <v>75000</v>
      </c>
      <c r="P15" s="3">
        <f t="shared" si="4"/>
        <v>2.1428571428571428</v>
      </c>
      <c r="Q15" s="3">
        <f t="shared" si="5"/>
        <v>3.5714285714285716</v>
      </c>
    </row>
    <row r="16" spans="1:17" x14ac:dyDescent="0.3">
      <c r="A16" s="2">
        <v>34014</v>
      </c>
      <c r="B16" s="2" t="s">
        <v>76</v>
      </c>
      <c r="C16" s="2" t="s">
        <v>59</v>
      </c>
      <c r="D16" s="2">
        <v>2</v>
      </c>
      <c r="E16" s="2" t="s">
        <v>0</v>
      </c>
      <c r="F16" s="2">
        <v>0</v>
      </c>
      <c r="G16" s="2">
        <v>3</v>
      </c>
      <c r="H16" s="2">
        <v>6</v>
      </c>
      <c r="I16" s="2">
        <v>0</v>
      </c>
      <c r="J16" s="2">
        <v>1400</v>
      </c>
      <c r="K16" s="2">
        <v>0</v>
      </c>
      <c r="L16" s="2">
        <v>0</v>
      </c>
      <c r="M16" s="2" t="s">
        <v>49</v>
      </c>
      <c r="N16" s="2">
        <v>2</v>
      </c>
      <c r="O16" s="2">
        <f>ROUNDUP(참조!$C$2 * VLOOKUP("무기",참조!$E:$I,N16+1,FALSE)*POWER(참조!$A$5,D16-1),-1)</f>
        <v>112500</v>
      </c>
      <c r="P16" s="3">
        <f t="shared" si="4"/>
        <v>2.1428571428571428</v>
      </c>
      <c r="Q16" s="3">
        <f t="shared" si="5"/>
        <v>4.2857142857142856</v>
      </c>
    </row>
    <row r="17" spans="1:17" x14ac:dyDescent="0.3">
      <c r="A17" s="2">
        <v>34015</v>
      </c>
      <c r="B17" s="2" t="s">
        <v>77</v>
      </c>
      <c r="C17" s="2" t="s">
        <v>60</v>
      </c>
      <c r="D17" s="2">
        <v>2</v>
      </c>
      <c r="E17" s="2" t="s">
        <v>0</v>
      </c>
      <c r="F17" s="2">
        <v>0</v>
      </c>
      <c r="G17" s="2">
        <v>3</v>
      </c>
      <c r="H17" s="2">
        <v>6</v>
      </c>
      <c r="I17" s="2">
        <v>0</v>
      </c>
      <c r="J17" s="2">
        <v>1350</v>
      </c>
      <c r="K17" s="2">
        <v>0</v>
      </c>
      <c r="L17" s="2">
        <v>0</v>
      </c>
      <c r="M17" s="2" t="s">
        <v>51</v>
      </c>
      <c r="N17" s="2">
        <v>3</v>
      </c>
      <c r="O17" s="2">
        <f>ROUNDUP(참조!$C$2 * VLOOKUP("무기",참조!$E:$I,N17+1,FALSE)*POWER(참조!$A$5,D17-1),-1)</f>
        <v>150000</v>
      </c>
      <c r="P17" s="3">
        <f t="shared" si="4"/>
        <v>2.2222222222222223</v>
      </c>
      <c r="Q17" s="3">
        <f t="shared" si="5"/>
        <v>4.4444444444444446</v>
      </c>
    </row>
    <row r="18" spans="1:17" x14ac:dyDescent="0.3">
      <c r="A18" s="2">
        <v>34016</v>
      </c>
      <c r="B18" s="2" t="s">
        <v>90</v>
      </c>
      <c r="C18" s="2" t="s">
        <v>61</v>
      </c>
      <c r="D18" s="2">
        <v>2</v>
      </c>
      <c r="E18" s="2" t="s">
        <v>0</v>
      </c>
      <c r="F18" s="2">
        <v>0</v>
      </c>
      <c r="G18" s="2">
        <v>3</v>
      </c>
      <c r="H18" s="2">
        <v>2</v>
      </c>
      <c r="I18" s="2">
        <v>0</v>
      </c>
      <c r="J18" s="2">
        <v>900</v>
      </c>
      <c r="K18" s="2">
        <v>0</v>
      </c>
      <c r="L18" s="2">
        <v>0</v>
      </c>
      <c r="M18" s="2" t="s">
        <v>50</v>
      </c>
      <c r="N18" s="2">
        <v>1</v>
      </c>
      <c r="O18" s="2">
        <f>ROUNDUP(참조!$C$2 * VLOOKUP("무기",참조!$E:$I,N18+1,FALSE)*POWER(참조!$A$5,D18-1),-1)</f>
        <v>75000</v>
      </c>
      <c r="P18" s="3">
        <f t="shared" si="4"/>
        <v>3.3333333333333335</v>
      </c>
      <c r="Q18" s="3">
        <f t="shared" si="5"/>
        <v>2.2222222222222223</v>
      </c>
    </row>
    <row r="19" spans="1:17" x14ac:dyDescent="0.3">
      <c r="A19" s="2">
        <v>34017</v>
      </c>
      <c r="B19" s="2" t="s">
        <v>91</v>
      </c>
      <c r="C19" s="2" t="s">
        <v>62</v>
      </c>
      <c r="D19" s="2">
        <v>2</v>
      </c>
      <c r="E19" s="2" t="s">
        <v>0</v>
      </c>
      <c r="F19" s="2">
        <v>0</v>
      </c>
      <c r="G19" s="2">
        <v>3</v>
      </c>
      <c r="H19" s="2">
        <v>2</v>
      </c>
      <c r="I19" s="2">
        <v>0</v>
      </c>
      <c r="J19" s="2">
        <v>800</v>
      </c>
      <c r="K19" s="2">
        <v>0</v>
      </c>
      <c r="L19" s="2">
        <v>0</v>
      </c>
      <c r="M19" s="2" t="s">
        <v>50</v>
      </c>
      <c r="N19" s="2">
        <v>2</v>
      </c>
      <c r="O19" s="2">
        <f>ROUNDUP(참조!$C$2 * VLOOKUP("무기",참조!$E:$I,N19+1,FALSE)*POWER(참조!$A$5,D19-1),-1)</f>
        <v>112500</v>
      </c>
      <c r="P19" s="3">
        <f t="shared" si="4"/>
        <v>3.75</v>
      </c>
      <c r="Q19" s="3">
        <f t="shared" si="5"/>
        <v>2.5</v>
      </c>
    </row>
    <row r="20" spans="1:17" x14ac:dyDescent="0.3">
      <c r="A20" s="2">
        <v>34018</v>
      </c>
      <c r="B20" s="2" t="s">
        <v>92</v>
      </c>
      <c r="C20" s="2" t="s">
        <v>63</v>
      </c>
      <c r="D20" s="2">
        <v>2</v>
      </c>
      <c r="E20" s="2" t="s">
        <v>0</v>
      </c>
      <c r="F20" s="2">
        <v>0</v>
      </c>
      <c r="G20" s="2">
        <v>3</v>
      </c>
      <c r="H20" s="2">
        <v>2</v>
      </c>
      <c r="I20" s="2">
        <v>0</v>
      </c>
      <c r="J20" s="2">
        <v>750</v>
      </c>
      <c r="K20" s="2">
        <v>0</v>
      </c>
      <c r="L20" s="2">
        <v>0</v>
      </c>
      <c r="M20" s="2" t="s">
        <v>52</v>
      </c>
      <c r="N20" s="2">
        <v>3</v>
      </c>
      <c r="O20" s="2">
        <f>ROUNDUP(참조!$C$2 * VLOOKUP("무기",참조!$E:$I,N20+1,FALSE)*POWER(참조!$A$5,D20-1),-1)</f>
        <v>150000</v>
      </c>
      <c r="P20" s="3">
        <f t="shared" si="4"/>
        <v>4</v>
      </c>
      <c r="Q20" s="3">
        <f t="shared" si="5"/>
        <v>2.6666666666666665</v>
      </c>
    </row>
    <row r="21" spans="1:17" x14ac:dyDescent="0.3">
      <c r="A21">
        <v>34019</v>
      </c>
      <c r="B21" t="s">
        <v>78</v>
      </c>
      <c r="C21" t="s">
        <v>100</v>
      </c>
      <c r="D21">
        <v>3</v>
      </c>
      <c r="E21" t="s">
        <v>0</v>
      </c>
      <c r="F21">
        <v>0</v>
      </c>
      <c r="G21">
        <v>7</v>
      </c>
      <c r="H21">
        <v>5</v>
      </c>
      <c r="I21">
        <v>0</v>
      </c>
      <c r="J21">
        <v>1200</v>
      </c>
      <c r="K21">
        <v>0</v>
      </c>
      <c r="L21">
        <v>0</v>
      </c>
      <c r="M21" t="s">
        <v>50</v>
      </c>
      <c r="N21">
        <v>1</v>
      </c>
      <c r="O21">
        <f>ROUNDUP(참조!$C$2 * VLOOKUP("무기",참조!$E:$I,N21+1,FALSE)*POWER(참조!$A$5,D21-1),-1)</f>
        <v>750000</v>
      </c>
      <c r="P21" s="1">
        <f t="shared" si="4"/>
        <v>5.833333333333333</v>
      </c>
      <c r="Q21" s="1">
        <f t="shared" si="5"/>
        <v>4.166666666666667</v>
      </c>
    </row>
    <row r="22" spans="1:17" x14ac:dyDescent="0.3">
      <c r="A22">
        <v>34020</v>
      </c>
      <c r="B22" t="s">
        <v>79</v>
      </c>
      <c r="C22" t="s">
        <v>64</v>
      </c>
      <c r="D22">
        <v>3</v>
      </c>
      <c r="E22" t="s">
        <v>0</v>
      </c>
      <c r="F22">
        <v>0</v>
      </c>
      <c r="G22">
        <v>8</v>
      </c>
      <c r="H22">
        <v>5</v>
      </c>
      <c r="I22">
        <v>0</v>
      </c>
      <c r="J22">
        <v>1200</v>
      </c>
      <c r="K22">
        <v>0</v>
      </c>
      <c r="L22">
        <v>0</v>
      </c>
      <c r="M22" t="s">
        <v>50</v>
      </c>
      <c r="N22">
        <v>2</v>
      </c>
      <c r="O22">
        <f>ROUNDUP(참조!$C$2 * VLOOKUP("무기",참조!$E:$I,N22+1,FALSE)*POWER(참조!$A$5,D22-1),-1)</f>
        <v>1125000</v>
      </c>
      <c r="P22" s="1">
        <f t="shared" si="4"/>
        <v>6.666666666666667</v>
      </c>
      <c r="Q22" s="1">
        <f t="shared" si="5"/>
        <v>4.166666666666667</v>
      </c>
    </row>
    <row r="23" spans="1:17" x14ac:dyDescent="0.3">
      <c r="A23">
        <v>34021</v>
      </c>
      <c r="B23" t="s">
        <v>80</v>
      </c>
      <c r="C23" t="s">
        <v>65</v>
      </c>
      <c r="D23">
        <v>3</v>
      </c>
      <c r="E23" t="s">
        <v>0</v>
      </c>
      <c r="F23">
        <v>0</v>
      </c>
      <c r="G23">
        <v>8</v>
      </c>
      <c r="H23">
        <v>5</v>
      </c>
      <c r="I23">
        <v>0</v>
      </c>
      <c r="J23">
        <v>1150</v>
      </c>
      <c r="K23">
        <v>0</v>
      </c>
      <c r="L23">
        <v>0</v>
      </c>
      <c r="M23" t="s">
        <v>52</v>
      </c>
      <c r="N23">
        <v>3</v>
      </c>
      <c r="O23">
        <f>ROUNDUP(참조!$C$2 * VLOOKUP("무기",참조!$E:$I,N23+1,FALSE)*POWER(참조!$A$5,D23-1),-1)</f>
        <v>1500000</v>
      </c>
      <c r="P23" s="1">
        <f t="shared" si="4"/>
        <v>6.9565217391304346</v>
      </c>
      <c r="Q23" s="1">
        <f t="shared" si="5"/>
        <v>4.3478260869565215</v>
      </c>
    </row>
    <row r="24" spans="1:17" x14ac:dyDescent="0.3">
      <c r="A24">
        <v>34022</v>
      </c>
      <c r="B24" t="s">
        <v>81</v>
      </c>
      <c r="C24" t="s">
        <v>66</v>
      </c>
      <c r="D24">
        <v>3</v>
      </c>
      <c r="E24" t="s">
        <v>0</v>
      </c>
      <c r="F24">
        <v>0</v>
      </c>
      <c r="G24">
        <v>5</v>
      </c>
      <c r="H24">
        <v>7</v>
      </c>
      <c r="I24">
        <v>0</v>
      </c>
      <c r="J24">
        <v>1400</v>
      </c>
      <c r="K24">
        <v>0</v>
      </c>
      <c r="L24">
        <v>0</v>
      </c>
      <c r="M24" t="s">
        <v>50</v>
      </c>
      <c r="N24">
        <v>1</v>
      </c>
      <c r="O24">
        <f>ROUNDUP(참조!$C$2 * VLOOKUP("무기",참조!$E:$I,N24+1,FALSE)*POWER(참조!$A$5,D24-1),-1)</f>
        <v>750000</v>
      </c>
      <c r="P24" s="1">
        <f t="shared" si="4"/>
        <v>3.5714285714285716</v>
      </c>
      <c r="Q24" s="1">
        <f t="shared" si="5"/>
        <v>5</v>
      </c>
    </row>
    <row r="25" spans="1:17" x14ac:dyDescent="0.3">
      <c r="A25">
        <v>34023</v>
      </c>
      <c r="B25" t="s">
        <v>82</v>
      </c>
      <c r="C25" t="s">
        <v>67</v>
      </c>
      <c r="D25">
        <v>3</v>
      </c>
      <c r="E25" t="s">
        <v>0</v>
      </c>
      <c r="F25">
        <v>0</v>
      </c>
      <c r="G25">
        <v>5</v>
      </c>
      <c r="H25">
        <v>8</v>
      </c>
      <c r="I25">
        <v>0</v>
      </c>
      <c r="J25">
        <v>1400</v>
      </c>
      <c r="K25">
        <v>0</v>
      </c>
      <c r="L25">
        <v>0</v>
      </c>
      <c r="M25" t="s">
        <v>50</v>
      </c>
      <c r="N25">
        <v>2</v>
      </c>
      <c r="O25">
        <f>ROUNDUP(참조!$C$2 * VLOOKUP("무기",참조!$E:$I,N25+1,FALSE)*POWER(참조!$A$5,D25-1),-1)</f>
        <v>1125000</v>
      </c>
      <c r="P25" s="1">
        <f t="shared" si="4"/>
        <v>3.5714285714285716</v>
      </c>
      <c r="Q25" s="1">
        <f t="shared" si="5"/>
        <v>5.7142857142857144</v>
      </c>
    </row>
    <row r="26" spans="1:17" x14ac:dyDescent="0.3">
      <c r="A26">
        <v>34024</v>
      </c>
      <c r="B26" t="s">
        <v>83</v>
      </c>
      <c r="C26" t="s">
        <v>68</v>
      </c>
      <c r="D26">
        <v>3</v>
      </c>
      <c r="E26" t="s">
        <v>0</v>
      </c>
      <c r="F26">
        <v>0</v>
      </c>
      <c r="G26">
        <v>5</v>
      </c>
      <c r="H26">
        <v>8</v>
      </c>
      <c r="I26">
        <v>0</v>
      </c>
      <c r="J26">
        <v>1350</v>
      </c>
      <c r="K26">
        <v>0</v>
      </c>
      <c r="L26">
        <v>0</v>
      </c>
      <c r="M26" t="s">
        <v>52</v>
      </c>
      <c r="N26">
        <v>3</v>
      </c>
      <c r="O26">
        <f>ROUNDUP(참조!$C$2 * VLOOKUP("무기",참조!$E:$I,N26+1,FALSE)*POWER(참조!$A$5,D26-1),-1)</f>
        <v>1500000</v>
      </c>
      <c r="P26" s="1">
        <f t="shared" si="4"/>
        <v>3.7037037037037037</v>
      </c>
      <c r="Q26" s="1">
        <f t="shared" si="5"/>
        <v>5.9259259259259256</v>
      </c>
    </row>
    <row r="27" spans="1:17" x14ac:dyDescent="0.3">
      <c r="A27">
        <v>34025</v>
      </c>
      <c r="B27" t="s">
        <v>93</v>
      </c>
      <c r="C27" t="s">
        <v>69</v>
      </c>
      <c r="D27">
        <v>3</v>
      </c>
      <c r="E27" t="s">
        <v>0</v>
      </c>
      <c r="F27">
        <v>0</v>
      </c>
      <c r="G27">
        <v>5</v>
      </c>
      <c r="H27">
        <v>3</v>
      </c>
      <c r="I27">
        <v>0</v>
      </c>
      <c r="J27">
        <v>900</v>
      </c>
      <c r="K27">
        <v>0</v>
      </c>
      <c r="L27">
        <v>0</v>
      </c>
      <c r="M27" t="s">
        <v>50</v>
      </c>
      <c r="N27">
        <v>1</v>
      </c>
      <c r="O27">
        <f>ROUNDUP(참조!$C$2 * VLOOKUP("무기",참조!$E:$I,N27+1,FALSE)*POWER(참조!$A$5,D27-1),-1)</f>
        <v>750000</v>
      </c>
      <c r="P27" s="1">
        <f t="shared" si="4"/>
        <v>5.5555555555555554</v>
      </c>
      <c r="Q27" s="1">
        <f t="shared" si="5"/>
        <v>3.3333333333333335</v>
      </c>
    </row>
    <row r="28" spans="1:17" x14ac:dyDescent="0.3">
      <c r="A28">
        <v>34026</v>
      </c>
      <c r="B28" t="s">
        <v>94</v>
      </c>
      <c r="C28" t="s">
        <v>70</v>
      </c>
      <c r="D28">
        <v>3</v>
      </c>
      <c r="E28" t="s">
        <v>0</v>
      </c>
      <c r="F28">
        <v>0</v>
      </c>
      <c r="G28">
        <v>5</v>
      </c>
      <c r="H28">
        <v>3</v>
      </c>
      <c r="I28">
        <v>0</v>
      </c>
      <c r="J28">
        <v>800</v>
      </c>
      <c r="K28">
        <v>0</v>
      </c>
      <c r="L28">
        <v>0</v>
      </c>
      <c r="M28" t="s">
        <v>50</v>
      </c>
      <c r="N28">
        <v>2</v>
      </c>
      <c r="O28">
        <f>ROUNDUP(참조!$C$2 * VLOOKUP("무기",참조!$E:$I,N28+1,FALSE)*POWER(참조!$A$5,D28-1),-1)</f>
        <v>1125000</v>
      </c>
      <c r="P28" s="1">
        <f t="shared" si="4"/>
        <v>6.25</v>
      </c>
      <c r="Q28" s="1">
        <f t="shared" si="5"/>
        <v>3.75</v>
      </c>
    </row>
    <row r="29" spans="1:17" x14ac:dyDescent="0.3">
      <c r="A29">
        <v>34027</v>
      </c>
      <c r="B29" t="s">
        <v>95</v>
      </c>
      <c r="C29" t="s">
        <v>71</v>
      </c>
      <c r="D29">
        <v>3</v>
      </c>
      <c r="E29" t="s">
        <v>0</v>
      </c>
      <c r="F29">
        <v>0</v>
      </c>
      <c r="G29">
        <v>5</v>
      </c>
      <c r="H29">
        <v>3</v>
      </c>
      <c r="I29">
        <v>0</v>
      </c>
      <c r="J29">
        <v>750</v>
      </c>
      <c r="K29">
        <v>0</v>
      </c>
      <c r="L29">
        <v>0</v>
      </c>
      <c r="M29" t="s">
        <v>52</v>
      </c>
      <c r="N29">
        <v>3</v>
      </c>
      <c r="O29">
        <f>ROUNDUP(참조!$C$2 * VLOOKUP("무기",참조!$E:$I,N29+1,FALSE)*POWER(참조!$A$5,D29-1),-1)</f>
        <v>1500000</v>
      </c>
      <c r="P29" s="1">
        <f t="shared" si="4"/>
        <v>6.666666666666667</v>
      </c>
      <c r="Q29" s="1">
        <f t="shared" si="5"/>
        <v>4</v>
      </c>
    </row>
    <row r="30" spans="1:17" x14ac:dyDescent="0.3">
      <c r="A30" s="2">
        <v>34028</v>
      </c>
      <c r="B30" s="2" t="s">
        <v>84</v>
      </c>
      <c r="C30" s="2" t="s">
        <v>101</v>
      </c>
      <c r="D30" s="2">
        <v>4</v>
      </c>
      <c r="E30" s="2" t="s">
        <v>0</v>
      </c>
      <c r="F30" s="2">
        <v>0</v>
      </c>
      <c r="G30" s="2">
        <v>9</v>
      </c>
      <c r="H30" s="2">
        <v>6</v>
      </c>
      <c r="I30" s="2">
        <v>0</v>
      </c>
      <c r="J30" s="2">
        <v>1200</v>
      </c>
      <c r="K30" s="2">
        <v>0</v>
      </c>
      <c r="L30" s="2">
        <v>0</v>
      </c>
      <c r="M30" s="2" t="s">
        <v>49</v>
      </c>
      <c r="N30" s="2">
        <v>1</v>
      </c>
      <c r="O30" s="2">
        <f>ROUNDUP(참조!$C$2 * VLOOKUP("무기",참조!$E:$I,N30+1,FALSE)*POWER(참조!$A$5,D30-1),-1)</f>
        <v>7500000</v>
      </c>
      <c r="P30" s="3">
        <f t="shared" si="4"/>
        <v>7.5</v>
      </c>
      <c r="Q30" s="3">
        <f t="shared" si="5"/>
        <v>5</v>
      </c>
    </row>
    <row r="31" spans="1:17" x14ac:dyDescent="0.3">
      <c r="A31" s="2">
        <v>34029</v>
      </c>
      <c r="B31" s="2" t="s">
        <v>85</v>
      </c>
      <c r="C31" s="2" t="s">
        <v>102</v>
      </c>
      <c r="D31" s="2">
        <v>4</v>
      </c>
      <c r="E31" s="2" t="s">
        <v>0</v>
      </c>
      <c r="F31" s="2">
        <v>0</v>
      </c>
      <c r="G31" s="2">
        <v>10</v>
      </c>
      <c r="H31" s="2">
        <v>6</v>
      </c>
      <c r="I31" s="2">
        <v>0</v>
      </c>
      <c r="J31" s="2">
        <v>1200</v>
      </c>
      <c r="K31" s="2">
        <v>0</v>
      </c>
      <c r="L31" s="2">
        <v>0</v>
      </c>
      <c r="M31" s="2" t="s">
        <v>49</v>
      </c>
      <c r="N31" s="2">
        <v>2</v>
      </c>
      <c r="O31" s="2">
        <f>ROUNDUP(참조!$C$2 * VLOOKUP("무기",참조!$E:$I,N31+1,FALSE)*POWER(참조!$A$5,D31-1),-1)</f>
        <v>11250000</v>
      </c>
      <c r="P31" s="3">
        <f t="shared" si="4"/>
        <v>8.3333333333333339</v>
      </c>
      <c r="Q31" s="3">
        <f t="shared" si="5"/>
        <v>5</v>
      </c>
    </row>
    <row r="32" spans="1:17" x14ac:dyDescent="0.3">
      <c r="A32" s="2">
        <v>34030</v>
      </c>
      <c r="B32" s="2" t="s">
        <v>86</v>
      </c>
      <c r="C32" s="2" t="s">
        <v>103</v>
      </c>
      <c r="D32" s="2">
        <v>4</v>
      </c>
      <c r="E32" s="2" t="s">
        <v>0</v>
      </c>
      <c r="F32" s="2">
        <v>0</v>
      </c>
      <c r="G32" s="2">
        <v>10</v>
      </c>
      <c r="H32" s="2">
        <v>6</v>
      </c>
      <c r="I32" s="2">
        <v>0</v>
      </c>
      <c r="J32" s="2">
        <v>1150</v>
      </c>
      <c r="K32" s="2">
        <v>0</v>
      </c>
      <c r="L32" s="2">
        <v>0</v>
      </c>
      <c r="M32" s="2" t="s">
        <v>51</v>
      </c>
      <c r="N32" s="2">
        <v>3</v>
      </c>
      <c r="O32" s="2">
        <f>ROUNDUP(참조!$C$2 * VLOOKUP("무기",참조!$E:$I,N32+1,FALSE)*POWER(참조!$A$5,D32-1),-1)</f>
        <v>15000000</v>
      </c>
      <c r="P32" s="3">
        <f t="shared" si="4"/>
        <v>8.695652173913043</v>
      </c>
      <c r="Q32" s="3">
        <f t="shared" si="5"/>
        <v>5.2173913043478262</v>
      </c>
    </row>
    <row r="33" spans="1:17" x14ac:dyDescent="0.3">
      <c r="A33" s="2">
        <v>34031</v>
      </c>
      <c r="B33" s="2" t="s">
        <v>87</v>
      </c>
      <c r="C33" s="2" t="s">
        <v>104</v>
      </c>
      <c r="D33" s="2">
        <v>4</v>
      </c>
      <c r="E33" s="2" t="s">
        <v>0</v>
      </c>
      <c r="F33" s="2">
        <v>0</v>
      </c>
      <c r="G33" s="2">
        <v>6</v>
      </c>
      <c r="H33" s="2">
        <v>9</v>
      </c>
      <c r="I33" s="2">
        <v>0</v>
      </c>
      <c r="J33" s="2">
        <v>1400</v>
      </c>
      <c r="K33" s="2">
        <v>0</v>
      </c>
      <c r="L33" s="2">
        <v>0</v>
      </c>
      <c r="M33" s="2" t="s">
        <v>49</v>
      </c>
      <c r="N33" s="2">
        <v>1</v>
      </c>
      <c r="O33" s="2">
        <f>ROUNDUP(참조!$C$2 * VLOOKUP("무기",참조!$E:$I,N33+1,FALSE)*POWER(참조!$A$5,D33-1),-1)</f>
        <v>7500000</v>
      </c>
      <c r="P33" s="3">
        <f t="shared" si="4"/>
        <v>4.2857142857142856</v>
      </c>
      <c r="Q33" s="3">
        <f t="shared" si="5"/>
        <v>6.4285714285714288</v>
      </c>
    </row>
    <row r="34" spans="1:17" x14ac:dyDescent="0.3">
      <c r="A34" s="2">
        <v>34032</v>
      </c>
      <c r="B34" s="2" t="s">
        <v>88</v>
      </c>
      <c r="C34" s="2" t="s">
        <v>105</v>
      </c>
      <c r="D34" s="2">
        <v>4</v>
      </c>
      <c r="E34" s="2" t="s">
        <v>0</v>
      </c>
      <c r="F34" s="2">
        <v>0</v>
      </c>
      <c r="G34" s="2">
        <v>6</v>
      </c>
      <c r="H34" s="2">
        <v>10</v>
      </c>
      <c r="I34" s="2">
        <v>0</v>
      </c>
      <c r="J34" s="2">
        <v>1400</v>
      </c>
      <c r="K34" s="2">
        <v>0</v>
      </c>
      <c r="L34" s="2">
        <v>0</v>
      </c>
      <c r="M34" s="2" t="s">
        <v>49</v>
      </c>
      <c r="N34" s="2">
        <v>2</v>
      </c>
      <c r="O34" s="2">
        <f>ROUNDUP(참조!$C$2 * VLOOKUP("무기",참조!$E:$I,N34+1,FALSE)*POWER(참조!$A$5,D34-1),-1)</f>
        <v>11250000</v>
      </c>
      <c r="P34" s="3">
        <f t="shared" si="4"/>
        <v>4.2857142857142856</v>
      </c>
      <c r="Q34" s="3">
        <f t="shared" si="5"/>
        <v>7.1428571428571432</v>
      </c>
    </row>
    <row r="35" spans="1:17" x14ac:dyDescent="0.3">
      <c r="A35" s="2">
        <v>34033</v>
      </c>
      <c r="B35" s="2" t="s">
        <v>89</v>
      </c>
      <c r="C35" s="2" t="s">
        <v>106</v>
      </c>
      <c r="D35" s="2">
        <v>4</v>
      </c>
      <c r="E35" s="2" t="s">
        <v>0</v>
      </c>
      <c r="F35" s="2">
        <v>0</v>
      </c>
      <c r="G35" s="2">
        <v>6</v>
      </c>
      <c r="H35" s="2">
        <v>10</v>
      </c>
      <c r="I35" s="2">
        <v>0</v>
      </c>
      <c r="J35" s="2">
        <v>1350</v>
      </c>
      <c r="K35" s="2">
        <v>0</v>
      </c>
      <c r="L35" s="2">
        <v>0</v>
      </c>
      <c r="M35" s="2" t="s">
        <v>51</v>
      </c>
      <c r="N35" s="2">
        <v>3</v>
      </c>
      <c r="O35" s="2">
        <f>ROUNDUP(참조!$C$2 * VLOOKUP("무기",참조!$E:$I,N35+1,FALSE)*POWER(참조!$A$5,D35-1),-1)</f>
        <v>15000000</v>
      </c>
      <c r="P35" s="3">
        <f t="shared" si="4"/>
        <v>4.4444444444444446</v>
      </c>
      <c r="Q35" s="3">
        <f t="shared" si="5"/>
        <v>7.4074074074074074</v>
      </c>
    </row>
    <row r="36" spans="1:17" x14ac:dyDescent="0.3">
      <c r="A36" s="2">
        <v>34034</v>
      </c>
      <c r="B36" s="2" t="s">
        <v>96</v>
      </c>
      <c r="C36" s="2" t="s">
        <v>107</v>
      </c>
      <c r="D36" s="2">
        <v>4</v>
      </c>
      <c r="E36" s="2" t="s">
        <v>0</v>
      </c>
      <c r="F36" s="2">
        <v>0</v>
      </c>
      <c r="G36" s="2">
        <v>6</v>
      </c>
      <c r="H36" s="2">
        <v>4</v>
      </c>
      <c r="I36" s="2">
        <v>0</v>
      </c>
      <c r="J36" s="2">
        <v>900</v>
      </c>
      <c r="K36" s="2">
        <v>0</v>
      </c>
      <c r="L36" s="2">
        <v>0</v>
      </c>
      <c r="M36" s="2" t="s">
        <v>50</v>
      </c>
      <c r="N36" s="2">
        <v>1</v>
      </c>
      <c r="O36" s="2">
        <f>ROUNDUP(참조!$C$2 * VLOOKUP("무기",참조!$E:$I,N36+1,FALSE)*POWER(참조!$A$5,D36-1),-1)</f>
        <v>7500000</v>
      </c>
      <c r="P36" s="3">
        <f t="shared" ref="P36:P38" si="6">G36*1000/$J36</f>
        <v>6.666666666666667</v>
      </c>
      <c r="Q36" s="3">
        <f t="shared" ref="Q36:Q38" si="7">H36*1000/$J36</f>
        <v>4.4444444444444446</v>
      </c>
    </row>
    <row r="37" spans="1:17" x14ac:dyDescent="0.3">
      <c r="A37" s="2">
        <v>34035</v>
      </c>
      <c r="B37" s="2" t="s">
        <v>97</v>
      </c>
      <c r="C37" s="2" t="s">
        <v>108</v>
      </c>
      <c r="D37" s="2">
        <v>4</v>
      </c>
      <c r="E37" s="2" t="s">
        <v>0</v>
      </c>
      <c r="F37" s="2">
        <v>0</v>
      </c>
      <c r="G37" s="2">
        <v>6</v>
      </c>
      <c r="H37" s="2">
        <v>4</v>
      </c>
      <c r="I37" s="2">
        <v>0</v>
      </c>
      <c r="J37" s="2">
        <v>800</v>
      </c>
      <c r="K37" s="2">
        <v>0</v>
      </c>
      <c r="L37" s="2">
        <v>0</v>
      </c>
      <c r="M37" s="2" t="s">
        <v>50</v>
      </c>
      <c r="N37" s="2">
        <v>2</v>
      </c>
      <c r="O37" s="2">
        <f>ROUNDUP(참조!$C$2 * VLOOKUP("무기",참조!$E:$I,N37+1,FALSE)*POWER(참조!$A$5,D37-1),-1)</f>
        <v>11250000</v>
      </c>
      <c r="P37" s="3">
        <f t="shared" si="6"/>
        <v>7.5</v>
      </c>
      <c r="Q37" s="3">
        <f t="shared" si="7"/>
        <v>5</v>
      </c>
    </row>
    <row r="38" spans="1:17" x14ac:dyDescent="0.3">
      <c r="A38" s="2">
        <v>34036</v>
      </c>
      <c r="B38" s="2" t="s">
        <v>98</v>
      </c>
      <c r="C38" s="2" t="s">
        <v>109</v>
      </c>
      <c r="D38" s="2">
        <v>4</v>
      </c>
      <c r="E38" s="2" t="s">
        <v>0</v>
      </c>
      <c r="F38" s="2">
        <v>0</v>
      </c>
      <c r="G38" s="2">
        <v>6</v>
      </c>
      <c r="H38" s="2">
        <v>4</v>
      </c>
      <c r="I38" s="2">
        <v>0</v>
      </c>
      <c r="J38" s="2">
        <v>750</v>
      </c>
      <c r="K38" s="2">
        <v>0</v>
      </c>
      <c r="L38" s="2">
        <v>0</v>
      </c>
      <c r="M38" s="2" t="s">
        <v>52</v>
      </c>
      <c r="N38" s="2">
        <v>3</v>
      </c>
      <c r="O38" s="2">
        <f>ROUNDUP(참조!$C$2 * VLOOKUP("무기",참조!$E:$I,N38+1,FALSE)*POWER(참조!$A$5,D38-1),-1)</f>
        <v>15000000</v>
      </c>
      <c r="P38" s="3">
        <f t="shared" si="6"/>
        <v>8</v>
      </c>
      <c r="Q38" s="3">
        <f t="shared" si="7"/>
        <v>5.333333333333333</v>
      </c>
    </row>
    <row r="39" spans="1:17" x14ac:dyDescent="0.3">
      <c r="A39" s="7">
        <v>34600</v>
      </c>
      <c r="B39" s="7" t="s">
        <v>200</v>
      </c>
      <c r="C39" s="7" t="s">
        <v>203</v>
      </c>
      <c r="D39" s="7">
        <v>1</v>
      </c>
      <c r="E39" s="7" t="s">
        <v>0</v>
      </c>
      <c r="F39" s="7">
        <v>0</v>
      </c>
      <c r="G39" s="7">
        <v>1</v>
      </c>
      <c r="H39" s="7">
        <v>5</v>
      </c>
      <c r="I39" s="7">
        <v>0</v>
      </c>
      <c r="J39" s="7">
        <v>1800</v>
      </c>
      <c r="K39" s="7">
        <v>0</v>
      </c>
      <c r="L39" s="7">
        <v>0</v>
      </c>
      <c r="M39" s="7" t="s">
        <v>215</v>
      </c>
      <c r="N39" s="7">
        <v>1</v>
      </c>
      <c r="O39" s="7">
        <f>ROUNDUP(참조!$C$2 * VLOOKUP("무기",참조!$E:$I,N39+1,FALSE)*POWER(참조!$A$5,D39-1),-1)</f>
        <v>7500</v>
      </c>
      <c r="P39" s="8">
        <f t="shared" ref="P39:P50" si="8">G39*1000/$J39</f>
        <v>0.55555555555555558</v>
      </c>
      <c r="Q39" s="8">
        <f t="shared" ref="Q39:Q50" si="9">H39*1000/$J39</f>
        <v>2.7777777777777777</v>
      </c>
    </row>
    <row r="40" spans="1:17" x14ac:dyDescent="0.3">
      <c r="A40" s="7">
        <v>34601</v>
      </c>
      <c r="B40" s="7" t="s">
        <v>201</v>
      </c>
      <c r="C40" s="7" t="s">
        <v>204</v>
      </c>
      <c r="D40" s="7">
        <v>1</v>
      </c>
      <c r="E40" s="7" t="s">
        <v>0</v>
      </c>
      <c r="F40" s="7">
        <v>0</v>
      </c>
      <c r="G40" s="7">
        <v>1</v>
      </c>
      <c r="H40" s="7">
        <v>6</v>
      </c>
      <c r="I40" s="7">
        <v>0</v>
      </c>
      <c r="J40" s="7">
        <v>1800</v>
      </c>
      <c r="K40" s="7">
        <v>0</v>
      </c>
      <c r="L40" s="7">
        <v>0</v>
      </c>
      <c r="M40" s="7" t="s">
        <v>215</v>
      </c>
      <c r="N40" s="7">
        <v>2</v>
      </c>
      <c r="O40" s="7">
        <f>ROUNDUP(참조!$C$2 * VLOOKUP("무기",참조!$E:$I,N40+1,FALSE)*POWER(참조!$A$5,D40-1),-1)</f>
        <v>11250</v>
      </c>
      <c r="P40" s="8">
        <f t="shared" si="8"/>
        <v>0.55555555555555558</v>
      </c>
      <c r="Q40" s="8">
        <f t="shared" si="9"/>
        <v>3.3333333333333335</v>
      </c>
    </row>
    <row r="41" spans="1:17" x14ac:dyDescent="0.3">
      <c r="A41" s="7">
        <v>34602</v>
      </c>
      <c r="B41" s="7" t="s">
        <v>202</v>
      </c>
      <c r="C41" s="7" t="s">
        <v>205</v>
      </c>
      <c r="D41" s="7">
        <v>1</v>
      </c>
      <c r="E41" s="7" t="s">
        <v>0</v>
      </c>
      <c r="F41" s="7">
        <v>0</v>
      </c>
      <c r="G41" s="7">
        <v>1</v>
      </c>
      <c r="H41" s="7">
        <v>6</v>
      </c>
      <c r="I41" s="7">
        <v>0</v>
      </c>
      <c r="J41" s="7">
        <v>1800</v>
      </c>
      <c r="K41" s="7">
        <v>0</v>
      </c>
      <c r="L41" s="7">
        <v>0</v>
      </c>
      <c r="M41" s="7" t="s">
        <v>52</v>
      </c>
      <c r="N41" s="7">
        <v>3</v>
      </c>
      <c r="O41" s="7">
        <f>ROUNDUP(참조!$C$2 * VLOOKUP("무기",참조!$E:$I,N41+1,FALSE)*POWER(참조!$A$5,D41-1),-1)</f>
        <v>15000</v>
      </c>
      <c r="P41" s="8">
        <f t="shared" si="8"/>
        <v>0.55555555555555558</v>
      </c>
      <c r="Q41" s="8">
        <f t="shared" si="9"/>
        <v>3.3333333333333335</v>
      </c>
    </row>
    <row r="42" spans="1:17" x14ac:dyDescent="0.3">
      <c r="A42" s="7">
        <v>34603</v>
      </c>
      <c r="B42" s="7" t="s">
        <v>216</v>
      </c>
      <c r="C42" s="7" t="s">
        <v>206</v>
      </c>
      <c r="D42" s="7">
        <v>2</v>
      </c>
      <c r="E42" s="7" t="s">
        <v>0</v>
      </c>
      <c r="F42" s="7">
        <v>0</v>
      </c>
      <c r="G42" s="7">
        <v>2</v>
      </c>
      <c r="H42" s="7">
        <v>8</v>
      </c>
      <c r="I42" s="7">
        <v>0</v>
      </c>
      <c r="J42" s="7">
        <v>1800</v>
      </c>
      <c r="K42" s="7">
        <v>0</v>
      </c>
      <c r="L42" s="7">
        <v>0</v>
      </c>
      <c r="M42" s="7" t="s">
        <v>215</v>
      </c>
      <c r="N42" s="7">
        <v>1</v>
      </c>
      <c r="O42" s="7">
        <f>ROUNDUP(참조!$C$2 * VLOOKUP("무기",참조!$E:$I,N42+1,FALSE)*POWER(참조!$A$5,D42-1),-1)</f>
        <v>75000</v>
      </c>
      <c r="P42" s="8">
        <f t="shared" si="8"/>
        <v>1.1111111111111112</v>
      </c>
      <c r="Q42" s="8">
        <f t="shared" si="9"/>
        <v>4.4444444444444446</v>
      </c>
    </row>
    <row r="43" spans="1:17" x14ac:dyDescent="0.3">
      <c r="A43" s="7">
        <v>34604</v>
      </c>
      <c r="B43" s="7" t="s">
        <v>198</v>
      </c>
      <c r="C43" s="7" t="s">
        <v>207</v>
      </c>
      <c r="D43" s="7">
        <v>2</v>
      </c>
      <c r="E43" s="7" t="s">
        <v>0</v>
      </c>
      <c r="F43" s="7">
        <v>0</v>
      </c>
      <c r="G43" s="7">
        <v>2</v>
      </c>
      <c r="H43" s="7">
        <v>9</v>
      </c>
      <c r="I43" s="7">
        <v>0</v>
      </c>
      <c r="J43" s="7">
        <v>1800</v>
      </c>
      <c r="K43" s="7">
        <v>0</v>
      </c>
      <c r="L43" s="7">
        <v>0</v>
      </c>
      <c r="M43" s="7" t="s">
        <v>215</v>
      </c>
      <c r="N43" s="7">
        <v>2</v>
      </c>
      <c r="O43" s="7">
        <f>ROUNDUP(참조!$C$2 * VLOOKUP("무기",참조!$E:$I,N43+1,FALSE)*POWER(참조!$A$5,D43-1),-1)</f>
        <v>112500</v>
      </c>
      <c r="P43" s="8">
        <f t="shared" si="8"/>
        <v>1.1111111111111112</v>
      </c>
      <c r="Q43" s="8">
        <f t="shared" si="9"/>
        <v>5</v>
      </c>
    </row>
    <row r="44" spans="1:17" x14ac:dyDescent="0.3">
      <c r="A44" s="7">
        <v>34605</v>
      </c>
      <c r="B44" s="7" t="s">
        <v>199</v>
      </c>
      <c r="C44" s="7" t="s">
        <v>208</v>
      </c>
      <c r="D44" s="7">
        <v>2</v>
      </c>
      <c r="E44" s="7" t="s">
        <v>0</v>
      </c>
      <c r="F44" s="7">
        <v>0</v>
      </c>
      <c r="G44" s="7">
        <v>2</v>
      </c>
      <c r="H44" s="7">
        <v>9</v>
      </c>
      <c r="I44" s="7">
        <v>0</v>
      </c>
      <c r="J44" s="7">
        <v>1800</v>
      </c>
      <c r="K44" s="7">
        <v>0</v>
      </c>
      <c r="L44" s="7">
        <v>0</v>
      </c>
      <c r="M44" s="7" t="s">
        <v>52</v>
      </c>
      <c r="N44" s="7">
        <v>3</v>
      </c>
      <c r="O44" s="7">
        <f>ROUNDUP(참조!$C$2 * VLOOKUP("무기",참조!$E:$I,N44+1,FALSE)*POWER(참조!$A$5,D44-1),-1)</f>
        <v>150000</v>
      </c>
      <c r="P44" s="8">
        <f t="shared" si="8"/>
        <v>1.1111111111111112</v>
      </c>
      <c r="Q44" s="8">
        <f t="shared" si="9"/>
        <v>5</v>
      </c>
    </row>
    <row r="45" spans="1:17" x14ac:dyDescent="0.3">
      <c r="A45" s="7">
        <v>34606</v>
      </c>
      <c r="B45" s="7" t="s">
        <v>217</v>
      </c>
      <c r="C45" s="7" t="s">
        <v>209</v>
      </c>
      <c r="D45" s="7">
        <v>3</v>
      </c>
      <c r="E45" s="7" t="s">
        <v>0</v>
      </c>
      <c r="F45" s="7">
        <v>0</v>
      </c>
      <c r="G45" s="7">
        <v>3</v>
      </c>
      <c r="H45" s="7">
        <v>10</v>
      </c>
      <c r="I45" s="7">
        <v>0</v>
      </c>
      <c r="J45" s="7">
        <v>1800</v>
      </c>
      <c r="K45" s="7">
        <v>0</v>
      </c>
      <c r="L45" s="7">
        <v>0</v>
      </c>
      <c r="M45" s="7" t="s">
        <v>215</v>
      </c>
      <c r="N45" s="7">
        <v>1</v>
      </c>
      <c r="O45" s="7">
        <f>ROUNDUP(참조!$C$2 * VLOOKUP("무기",참조!$E:$I,N45+1,FALSE)*POWER(참조!$A$5,D45-1),-1)</f>
        <v>750000</v>
      </c>
      <c r="P45" s="8">
        <f t="shared" si="8"/>
        <v>1.6666666666666667</v>
      </c>
      <c r="Q45" s="8">
        <f t="shared" si="9"/>
        <v>5.5555555555555554</v>
      </c>
    </row>
    <row r="46" spans="1:17" x14ac:dyDescent="0.3">
      <c r="A46" s="7">
        <v>34607</v>
      </c>
      <c r="B46" s="7" t="s">
        <v>218</v>
      </c>
      <c r="C46" s="7" t="s">
        <v>210</v>
      </c>
      <c r="D46" s="7">
        <v>3</v>
      </c>
      <c r="E46" s="7" t="s">
        <v>0</v>
      </c>
      <c r="F46" s="7">
        <v>0</v>
      </c>
      <c r="G46" s="7">
        <v>3</v>
      </c>
      <c r="H46" s="7">
        <v>12</v>
      </c>
      <c r="I46" s="7">
        <v>0</v>
      </c>
      <c r="J46" s="7">
        <v>1800</v>
      </c>
      <c r="K46" s="7">
        <v>0</v>
      </c>
      <c r="L46" s="7">
        <v>0</v>
      </c>
      <c r="M46" s="7" t="s">
        <v>215</v>
      </c>
      <c r="N46" s="7">
        <v>2</v>
      </c>
      <c r="O46" s="7">
        <f>ROUNDUP(참조!$C$2 * VLOOKUP("무기",참조!$E:$I,N46+1,FALSE)*POWER(참조!$A$5,D46-1),-1)</f>
        <v>1125000</v>
      </c>
      <c r="P46" s="8">
        <f t="shared" si="8"/>
        <v>1.6666666666666667</v>
      </c>
      <c r="Q46" s="8">
        <f t="shared" si="9"/>
        <v>6.666666666666667</v>
      </c>
    </row>
    <row r="47" spans="1:17" x14ac:dyDescent="0.3">
      <c r="A47" s="7">
        <v>34608</v>
      </c>
      <c r="B47" s="7" t="s">
        <v>219</v>
      </c>
      <c r="C47" s="7" t="s">
        <v>211</v>
      </c>
      <c r="D47" s="7">
        <v>3</v>
      </c>
      <c r="E47" s="7" t="s">
        <v>0</v>
      </c>
      <c r="F47" s="7">
        <v>0</v>
      </c>
      <c r="G47" s="7">
        <v>3</v>
      </c>
      <c r="H47" s="7">
        <v>12</v>
      </c>
      <c r="I47" s="7">
        <v>0</v>
      </c>
      <c r="J47" s="7">
        <v>1800</v>
      </c>
      <c r="K47" s="7">
        <v>0</v>
      </c>
      <c r="L47" s="7">
        <v>0</v>
      </c>
      <c r="M47" s="7" t="s">
        <v>52</v>
      </c>
      <c r="N47" s="7">
        <v>3</v>
      </c>
      <c r="O47" s="7">
        <f>ROUNDUP(참조!$C$2 * VLOOKUP("무기",참조!$E:$I,N47+1,FALSE)*POWER(참조!$A$5,D47-1),-1)</f>
        <v>1500000</v>
      </c>
      <c r="P47" s="8">
        <f t="shared" si="8"/>
        <v>1.6666666666666667</v>
      </c>
      <c r="Q47" s="8">
        <f t="shared" si="9"/>
        <v>6.666666666666667</v>
      </c>
    </row>
    <row r="48" spans="1:17" x14ac:dyDescent="0.3">
      <c r="A48" s="7">
        <v>34609</v>
      </c>
      <c r="B48" s="7" t="s">
        <v>220</v>
      </c>
      <c r="C48" s="7" t="s">
        <v>212</v>
      </c>
      <c r="D48" s="7">
        <v>4</v>
      </c>
      <c r="E48" s="7" t="s">
        <v>0</v>
      </c>
      <c r="F48" s="7">
        <v>0</v>
      </c>
      <c r="G48" s="7">
        <v>4</v>
      </c>
      <c r="H48" s="7">
        <v>14</v>
      </c>
      <c r="I48" s="7">
        <v>0</v>
      </c>
      <c r="J48" s="7">
        <v>1800</v>
      </c>
      <c r="K48" s="7">
        <v>0</v>
      </c>
      <c r="L48" s="7">
        <v>0</v>
      </c>
      <c r="M48" s="7" t="s">
        <v>215</v>
      </c>
      <c r="N48" s="7">
        <v>1</v>
      </c>
      <c r="O48" s="7">
        <f>ROUNDUP(참조!$C$2 * VLOOKUP("무기",참조!$E:$I,N48+1,FALSE)*POWER(참조!$A$5,D48-1),-1)</f>
        <v>7500000</v>
      </c>
      <c r="P48" s="8">
        <f t="shared" si="8"/>
        <v>2.2222222222222223</v>
      </c>
      <c r="Q48" s="8">
        <f t="shared" si="9"/>
        <v>7.7777777777777777</v>
      </c>
    </row>
    <row r="49" spans="1:17" x14ac:dyDescent="0.3">
      <c r="A49" s="7">
        <v>34610</v>
      </c>
      <c r="B49" s="7" t="s">
        <v>221</v>
      </c>
      <c r="C49" s="7" t="s">
        <v>213</v>
      </c>
      <c r="D49" s="7">
        <v>4</v>
      </c>
      <c r="E49" s="7" t="s">
        <v>0</v>
      </c>
      <c r="F49" s="7">
        <v>0</v>
      </c>
      <c r="G49" s="7">
        <v>4</v>
      </c>
      <c r="H49" s="7">
        <v>15</v>
      </c>
      <c r="I49" s="7">
        <v>0</v>
      </c>
      <c r="J49" s="7">
        <v>1800</v>
      </c>
      <c r="K49" s="7">
        <v>0</v>
      </c>
      <c r="L49" s="7">
        <v>0</v>
      </c>
      <c r="M49" s="7" t="s">
        <v>215</v>
      </c>
      <c r="N49" s="7">
        <v>2</v>
      </c>
      <c r="O49" s="7">
        <f>ROUNDUP(참조!$C$2 * VLOOKUP("무기",참조!$E:$I,N49+1,FALSE)*POWER(참조!$A$5,D49-1),-1)</f>
        <v>11250000</v>
      </c>
      <c r="P49" s="8">
        <f t="shared" si="8"/>
        <v>2.2222222222222223</v>
      </c>
      <c r="Q49" s="8">
        <f t="shared" si="9"/>
        <v>8.3333333333333339</v>
      </c>
    </row>
    <row r="50" spans="1:17" x14ac:dyDescent="0.3">
      <c r="A50" s="7">
        <v>34611</v>
      </c>
      <c r="B50" s="7" t="s">
        <v>222</v>
      </c>
      <c r="C50" s="7" t="s">
        <v>214</v>
      </c>
      <c r="D50" s="7">
        <v>4</v>
      </c>
      <c r="E50" s="7" t="s">
        <v>0</v>
      </c>
      <c r="F50" s="7">
        <v>0</v>
      </c>
      <c r="G50" s="7">
        <v>4</v>
      </c>
      <c r="H50" s="7">
        <v>15</v>
      </c>
      <c r="I50" s="7">
        <v>0</v>
      </c>
      <c r="J50" s="7">
        <v>1800</v>
      </c>
      <c r="K50" s="7">
        <v>0</v>
      </c>
      <c r="L50" s="7">
        <v>0</v>
      </c>
      <c r="M50" s="7" t="s">
        <v>52</v>
      </c>
      <c r="N50" s="7">
        <v>3</v>
      </c>
      <c r="O50" s="7">
        <f>ROUNDUP(참조!$C$2 * VLOOKUP("무기",참조!$E:$I,N50+1,FALSE)*POWER(참조!$A$5,D50-1),-1)</f>
        <v>15000000</v>
      </c>
      <c r="P50" s="8">
        <f t="shared" si="8"/>
        <v>2.2222222222222223</v>
      </c>
      <c r="Q50" s="8">
        <f t="shared" si="9"/>
        <v>8.3333333333333339</v>
      </c>
    </row>
  </sheetData>
  <mergeCells count="1">
    <mergeCell ref="P1:Q1"/>
  </mergeCells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O45" sqref="O45"/>
    </sheetView>
  </sheetViews>
  <sheetFormatPr defaultRowHeight="16.5" x14ac:dyDescent="0.3"/>
  <cols>
    <col min="2" max="2" width="18.625" bestFit="1" customWidth="1"/>
    <col min="3" max="3" width="19.5" bestFit="1" customWidth="1"/>
  </cols>
  <sheetData>
    <row r="1" spans="1:15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110</v>
      </c>
      <c r="N1" s="6" t="s">
        <v>185</v>
      </c>
      <c r="O1" s="6" t="s">
        <v>186</v>
      </c>
    </row>
    <row r="2" spans="1:15" x14ac:dyDescent="0.3">
      <c r="A2" s="4">
        <v>31000</v>
      </c>
      <c r="B2" s="4" t="s">
        <v>31</v>
      </c>
      <c r="C2" s="4" t="s">
        <v>32</v>
      </c>
      <c r="D2" s="4">
        <v>0</v>
      </c>
      <c r="E2" s="4" t="s">
        <v>0</v>
      </c>
      <c r="F2" s="4">
        <v>1</v>
      </c>
      <c r="G2" s="4">
        <v>0</v>
      </c>
      <c r="H2" s="4">
        <v>0</v>
      </c>
      <c r="I2" s="4">
        <v>2</v>
      </c>
      <c r="J2" s="4">
        <v>0</v>
      </c>
      <c r="K2" s="4">
        <v>0</v>
      </c>
      <c r="L2" s="4">
        <v>0</v>
      </c>
      <c r="M2" s="4" t="s">
        <v>50</v>
      </c>
      <c r="N2" s="4">
        <v>1</v>
      </c>
      <c r="O2" s="4">
        <f>ROUNDUP(참조!$C$2 * VLOOKUP("방어구",참조!$E:$I,N2+1,FALSE)*POWER(참조!$A$5,D2-1),-1)</f>
        <v>500</v>
      </c>
    </row>
    <row r="3" spans="1:15" x14ac:dyDescent="0.3">
      <c r="A3">
        <v>31001</v>
      </c>
      <c r="B3" t="s">
        <v>33</v>
      </c>
      <c r="C3" t="s">
        <v>1</v>
      </c>
      <c r="D3">
        <v>1</v>
      </c>
      <c r="E3" t="s">
        <v>0</v>
      </c>
      <c r="F3">
        <v>1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 t="s">
        <v>50</v>
      </c>
      <c r="N3">
        <v>1</v>
      </c>
      <c r="O3">
        <f>ROUNDUP(참조!$C$2 * VLOOKUP("방어구",참조!$E:$I,N3+1,FALSE)*POWER(참조!$A$5,D3-1),-1)</f>
        <v>5000</v>
      </c>
    </row>
    <row r="4" spans="1:15" x14ac:dyDescent="0.3">
      <c r="A4">
        <v>31002</v>
      </c>
      <c r="B4" t="s">
        <v>34</v>
      </c>
      <c r="C4" t="s">
        <v>2</v>
      </c>
      <c r="D4">
        <v>1</v>
      </c>
      <c r="E4" t="s">
        <v>0</v>
      </c>
      <c r="F4">
        <v>1</v>
      </c>
      <c r="G4">
        <v>0</v>
      </c>
      <c r="H4">
        <v>0</v>
      </c>
      <c r="I4">
        <v>5</v>
      </c>
      <c r="J4">
        <v>0</v>
      </c>
      <c r="K4">
        <v>0</v>
      </c>
      <c r="L4">
        <v>0</v>
      </c>
      <c r="M4" t="s">
        <v>50</v>
      </c>
      <c r="N4">
        <v>2</v>
      </c>
      <c r="O4">
        <f>ROUNDUP(참조!$C$2 * VLOOKUP("방어구",참조!$E:$I,N4+1,FALSE)*POWER(참조!$A$5,D4-1),-1)</f>
        <v>7500</v>
      </c>
    </row>
    <row r="5" spans="1:15" x14ac:dyDescent="0.3">
      <c r="A5">
        <v>31003</v>
      </c>
      <c r="B5" t="s">
        <v>35</v>
      </c>
      <c r="C5" t="s">
        <v>3</v>
      </c>
      <c r="D5">
        <v>1</v>
      </c>
      <c r="E5" t="s">
        <v>0</v>
      </c>
      <c r="F5">
        <v>1</v>
      </c>
      <c r="G5">
        <v>0</v>
      </c>
      <c r="H5">
        <v>0</v>
      </c>
      <c r="I5">
        <v>5</v>
      </c>
      <c r="J5">
        <v>0</v>
      </c>
      <c r="K5">
        <v>0</v>
      </c>
      <c r="L5">
        <v>0</v>
      </c>
      <c r="M5" t="s">
        <v>52</v>
      </c>
      <c r="N5">
        <v>3</v>
      </c>
      <c r="O5">
        <f>ROUNDUP(참조!$C$2 * VLOOKUP("방어구",참조!$E:$I,N5+1,FALSE)*POWER(참조!$A$5,D5-1),-1)</f>
        <v>10000</v>
      </c>
    </row>
    <row r="6" spans="1:15" x14ac:dyDescent="0.3">
      <c r="A6">
        <v>31004</v>
      </c>
      <c r="B6" t="s">
        <v>36</v>
      </c>
      <c r="C6" t="s">
        <v>4</v>
      </c>
      <c r="D6">
        <v>1</v>
      </c>
      <c r="E6" t="s">
        <v>0</v>
      </c>
      <c r="F6">
        <v>1</v>
      </c>
      <c r="G6">
        <v>0</v>
      </c>
      <c r="H6">
        <v>0</v>
      </c>
      <c r="I6">
        <v>2</v>
      </c>
      <c r="J6">
        <v>0</v>
      </c>
      <c r="K6">
        <v>0</v>
      </c>
      <c r="L6">
        <v>20</v>
      </c>
      <c r="M6" t="s">
        <v>50</v>
      </c>
      <c r="N6">
        <v>1</v>
      </c>
      <c r="O6">
        <f>ROUNDUP(참조!$C$2 * VLOOKUP("방어구",참조!$E:$I,N6+1,FALSE)*POWER(참조!$A$5,D6-1),-1)</f>
        <v>5000</v>
      </c>
    </row>
    <row r="7" spans="1:15" x14ac:dyDescent="0.3">
      <c r="A7">
        <v>31005</v>
      </c>
      <c r="B7" t="s">
        <v>37</v>
      </c>
      <c r="C7" t="s">
        <v>5</v>
      </c>
      <c r="D7">
        <v>1</v>
      </c>
      <c r="E7" t="s">
        <v>0</v>
      </c>
      <c r="F7">
        <v>1</v>
      </c>
      <c r="G7">
        <v>0</v>
      </c>
      <c r="H7">
        <v>0</v>
      </c>
      <c r="I7">
        <v>3</v>
      </c>
      <c r="J7">
        <v>0</v>
      </c>
      <c r="K7">
        <v>0</v>
      </c>
      <c r="L7">
        <v>30</v>
      </c>
      <c r="M7" t="s">
        <v>50</v>
      </c>
      <c r="N7">
        <v>2</v>
      </c>
      <c r="O7">
        <f>ROUNDUP(참조!$C$2 * VLOOKUP("방어구",참조!$E:$I,N7+1,FALSE)*POWER(참조!$A$5,D7-1),-1)</f>
        <v>7500</v>
      </c>
    </row>
    <row r="8" spans="1:15" x14ac:dyDescent="0.3">
      <c r="A8">
        <v>31006</v>
      </c>
      <c r="B8" t="s">
        <v>38</v>
      </c>
      <c r="C8" t="s">
        <v>6</v>
      </c>
      <c r="D8">
        <v>1</v>
      </c>
      <c r="E8" t="s">
        <v>0</v>
      </c>
      <c r="F8">
        <v>1</v>
      </c>
      <c r="G8">
        <v>0</v>
      </c>
      <c r="H8">
        <v>0</v>
      </c>
      <c r="I8">
        <v>3</v>
      </c>
      <c r="J8">
        <v>0</v>
      </c>
      <c r="K8">
        <v>0</v>
      </c>
      <c r="L8">
        <v>30</v>
      </c>
      <c r="M8" t="s">
        <v>52</v>
      </c>
      <c r="N8">
        <v>3</v>
      </c>
      <c r="O8">
        <f>ROUNDUP(참조!$C$2 * VLOOKUP("방어구",참조!$E:$I,N8+1,FALSE)*POWER(참조!$A$5,D8-1),-1)</f>
        <v>10000</v>
      </c>
    </row>
    <row r="9" spans="1:15" x14ac:dyDescent="0.3">
      <c r="A9" s="2">
        <v>31007</v>
      </c>
      <c r="B9" s="2" t="s">
        <v>140</v>
      </c>
      <c r="C9" s="2" t="s">
        <v>122</v>
      </c>
      <c r="D9" s="2">
        <v>2</v>
      </c>
      <c r="E9" s="2" t="s">
        <v>0</v>
      </c>
      <c r="F9" s="2">
        <v>1</v>
      </c>
      <c r="G9" s="2">
        <v>0</v>
      </c>
      <c r="H9" s="2">
        <v>0</v>
      </c>
      <c r="I9" s="2">
        <v>8</v>
      </c>
      <c r="J9" s="2">
        <v>0</v>
      </c>
      <c r="K9" s="2">
        <v>0</v>
      </c>
      <c r="L9" s="2">
        <v>0</v>
      </c>
      <c r="M9" s="2" t="s">
        <v>50</v>
      </c>
      <c r="N9" s="2">
        <v>1</v>
      </c>
      <c r="O9" s="2">
        <f>ROUNDUP(참조!$C$2 * VLOOKUP("방어구",참조!$E:$I,N9+1,FALSE)*POWER(참조!$A$5,D9-1),-1)</f>
        <v>50000</v>
      </c>
    </row>
    <row r="10" spans="1:15" x14ac:dyDescent="0.3">
      <c r="A10" s="2">
        <v>31008</v>
      </c>
      <c r="B10" s="2" t="s">
        <v>141</v>
      </c>
      <c r="C10" s="2" t="s">
        <v>123</v>
      </c>
      <c r="D10" s="2">
        <v>2</v>
      </c>
      <c r="E10" s="2" t="s">
        <v>0</v>
      </c>
      <c r="F10" s="2">
        <v>1</v>
      </c>
      <c r="G10" s="2">
        <v>0</v>
      </c>
      <c r="H10" s="2">
        <v>0</v>
      </c>
      <c r="I10" s="2">
        <v>9</v>
      </c>
      <c r="J10" s="2">
        <v>0</v>
      </c>
      <c r="K10" s="2">
        <v>0</v>
      </c>
      <c r="L10" s="2">
        <v>0</v>
      </c>
      <c r="M10" s="2" t="s">
        <v>50</v>
      </c>
      <c r="N10" s="2">
        <v>2</v>
      </c>
      <c r="O10" s="2">
        <f>ROUNDUP(참조!$C$2 * VLOOKUP("방어구",참조!$E:$I,N10+1,FALSE)*POWER(참조!$A$5,D10-1),-1)</f>
        <v>75000</v>
      </c>
    </row>
    <row r="11" spans="1:15" x14ac:dyDescent="0.3">
      <c r="A11" s="2">
        <v>31009</v>
      </c>
      <c r="B11" s="2" t="s">
        <v>142</v>
      </c>
      <c r="C11" s="2" t="s">
        <v>124</v>
      </c>
      <c r="D11" s="2">
        <v>2</v>
      </c>
      <c r="E11" s="2" t="s">
        <v>0</v>
      </c>
      <c r="F11" s="2">
        <v>1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 t="s">
        <v>52</v>
      </c>
      <c r="N11" s="2">
        <v>3</v>
      </c>
      <c r="O11" s="2">
        <f>ROUNDUP(참조!$C$2 * VLOOKUP("방어구",참조!$E:$I,N11+1,FALSE)*POWER(참조!$A$5,D11-1),-1)</f>
        <v>100000</v>
      </c>
    </row>
    <row r="12" spans="1:15" x14ac:dyDescent="0.3">
      <c r="A12" s="2">
        <v>31010</v>
      </c>
      <c r="B12" s="2" t="s">
        <v>143</v>
      </c>
      <c r="C12" s="2" t="s">
        <v>125</v>
      </c>
      <c r="D12" s="2">
        <v>2</v>
      </c>
      <c r="E12" s="2" t="s">
        <v>0</v>
      </c>
      <c r="F12" s="2">
        <v>1</v>
      </c>
      <c r="G12" s="2">
        <v>0</v>
      </c>
      <c r="H12" s="2">
        <v>0</v>
      </c>
      <c r="I12" s="2">
        <v>4</v>
      </c>
      <c r="J12" s="2">
        <v>0</v>
      </c>
      <c r="K12" s="2">
        <v>0</v>
      </c>
      <c r="L12" s="2">
        <v>40</v>
      </c>
      <c r="M12" s="2" t="s">
        <v>50</v>
      </c>
      <c r="N12" s="2">
        <v>1</v>
      </c>
      <c r="O12" s="2">
        <f>ROUNDUP(참조!$C$2 * VLOOKUP("방어구",참조!$E:$I,N12+1,FALSE)*POWER(참조!$A$5,D12-1),-1)</f>
        <v>50000</v>
      </c>
    </row>
    <row r="13" spans="1:15" x14ac:dyDescent="0.3">
      <c r="A13" s="2">
        <v>31011</v>
      </c>
      <c r="B13" s="2" t="s">
        <v>144</v>
      </c>
      <c r="C13" s="2" t="s">
        <v>126</v>
      </c>
      <c r="D13" s="2">
        <v>2</v>
      </c>
      <c r="E13" s="2" t="s">
        <v>0</v>
      </c>
      <c r="F13" s="2">
        <v>1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50</v>
      </c>
      <c r="M13" s="2" t="s">
        <v>50</v>
      </c>
      <c r="N13" s="2">
        <v>2</v>
      </c>
      <c r="O13" s="2">
        <f>ROUNDUP(참조!$C$2 * VLOOKUP("방어구",참조!$E:$I,N13+1,FALSE)*POWER(참조!$A$5,D13-1),-1)</f>
        <v>75000</v>
      </c>
    </row>
    <row r="14" spans="1:15" x14ac:dyDescent="0.3">
      <c r="A14" s="2">
        <v>31012</v>
      </c>
      <c r="B14" s="2" t="s">
        <v>145</v>
      </c>
      <c r="C14" s="2" t="s">
        <v>127</v>
      </c>
      <c r="D14" s="2">
        <v>2</v>
      </c>
      <c r="E14" s="2" t="s">
        <v>0</v>
      </c>
      <c r="F14" s="2">
        <v>1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50</v>
      </c>
      <c r="M14" s="2" t="s">
        <v>52</v>
      </c>
      <c r="N14" s="2">
        <v>3</v>
      </c>
      <c r="O14" s="2">
        <f>ROUNDUP(참조!$C$2 * VLOOKUP("방어구",참조!$E:$I,N14+1,FALSE)*POWER(참조!$A$5,D14-1),-1)</f>
        <v>100000</v>
      </c>
    </row>
    <row r="15" spans="1:15" x14ac:dyDescent="0.3">
      <c r="A15">
        <v>31013</v>
      </c>
      <c r="B15" t="s">
        <v>146</v>
      </c>
      <c r="C15" t="s">
        <v>128</v>
      </c>
      <c r="D15">
        <v>3</v>
      </c>
      <c r="E15" t="s">
        <v>0</v>
      </c>
      <c r="F15">
        <v>1</v>
      </c>
      <c r="G15">
        <v>0</v>
      </c>
      <c r="H15">
        <v>0</v>
      </c>
      <c r="I15">
        <v>12</v>
      </c>
      <c r="J15">
        <v>0</v>
      </c>
      <c r="K15">
        <v>0</v>
      </c>
      <c r="L15">
        <v>0</v>
      </c>
      <c r="M15" t="s">
        <v>50</v>
      </c>
      <c r="N15">
        <v>1</v>
      </c>
      <c r="O15">
        <f>ROUNDUP(참조!$C$2 * VLOOKUP("방어구",참조!$E:$I,N15+1,FALSE)*POWER(참조!$A$5,D15-1),-1)</f>
        <v>500000</v>
      </c>
    </row>
    <row r="16" spans="1:15" x14ac:dyDescent="0.3">
      <c r="A16">
        <v>31014</v>
      </c>
      <c r="B16" t="s">
        <v>147</v>
      </c>
      <c r="C16" t="s">
        <v>129</v>
      </c>
      <c r="D16">
        <v>3</v>
      </c>
      <c r="E16" t="s">
        <v>0</v>
      </c>
      <c r="F16">
        <v>1</v>
      </c>
      <c r="G16">
        <v>0</v>
      </c>
      <c r="H16">
        <v>0</v>
      </c>
      <c r="I16">
        <v>13</v>
      </c>
      <c r="J16">
        <v>0</v>
      </c>
      <c r="K16">
        <v>0</v>
      </c>
      <c r="L16">
        <v>0</v>
      </c>
      <c r="M16" t="s">
        <v>50</v>
      </c>
      <c r="N16">
        <v>2</v>
      </c>
      <c r="O16">
        <f>ROUNDUP(참조!$C$2 * VLOOKUP("방어구",참조!$E:$I,N16+1,FALSE)*POWER(참조!$A$5,D16-1),-1)</f>
        <v>750000</v>
      </c>
    </row>
    <row r="17" spans="1:15" x14ac:dyDescent="0.3">
      <c r="A17">
        <v>31015</v>
      </c>
      <c r="B17" t="s">
        <v>148</v>
      </c>
      <c r="C17" t="s">
        <v>130</v>
      </c>
      <c r="D17">
        <v>3</v>
      </c>
      <c r="E17" t="s">
        <v>0</v>
      </c>
      <c r="F17">
        <v>1</v>
      </c>
      <c r="G17">
        <v>0</v>
      </c>
      <c r="H17">
        <v>0</v>
      </c>
      <c r="I17">
        <v>13</v>
      </c>
      <c r="J17">
        <v>0</v>
      </c>
      <c r="K17">
        <v>0</v>
      </c>
      <c r="L17">
        <v>0</v>
      </c>
      <c r="M17" t="s">
        <v>52</v>
      </c>
      <c r="N17">
        <v>3</v>
      </c>
      <c r="O17">
        <f>ROUNDUP(참조!$C$2 * VLOOKUP("방어구",참조!$E:$I,N17+1,FALSE)*POWER(참조!$A$5,D17-1),-1)</f>
        <v>1000000</v>
      </c>
    </row>
    <row r="18" spans="1:15" x14ac:dyDescent="0.3">
      <c r="A18">
        <v>31016</v>
      </c>
      <c r="B18" t="s">
        <v>149</v>
      </c>
      <c r="C18" t="s">
        <v>131</v>
      </c>
      <c r="D18">
        <v>3</v>
      </c>
      <c r="E18" t="s">
        <v>0</v>
      </c>
      <c r="F18">
        <v>1</v>
      </c>
      <c r="G18">
        <v>0</v>
      </c>
      <c r="H18">
        <v>0</v>
      </c>
      <c r="I18">
        <v>6</v>
      </c>
      <c r="J18">
        <v>0</v>
      </c>
      <c r="K18">
        <v>0</v>
      </c>
      <c r="L18">
        <v>60</v>
      </c>
      <c r="M18" t="s">
        <v>50</v>
      </c>
      <c r="N18">
        <v>1</v>
      </c>
      <c r="O18">
        <f>ROUNDUP(참조!$C$2 * VLOOKUP("방어구",참조!$E:$I,N18+1,FALSE)*POWER(참조!$A$5,D18-1),-1)</f>
        <v>500000</v>
      </c>
    </row>
    <row r="19" spans="1:15" x14ac:dyDescent="0.3">
      <c r="A19">
        <v>31017</v>
      </c>
      <c r="B19" t="s">
        <v>150</v>
      </c>
      <c r="C19" t="s">
        <v>132</v>
      </c>
      <c r="D19">
        <v>3</v>
      </c>
      <c r="E19" t="s">
        <v>0</v>
      </c>
      <c r="F19">
        <v>1</v>
      </c>
      <c r="G19">
        <v>0</v>
      </c>
      <c r="H19">
        <v>0</v>
      </c>
      <c r="I19">
        <v>7</v>
      </c>
      <c r="J19">
        <v>0</v>
      </c>
      <c r="K19">
        <v>0</v>
      </c>
      <c r="L19">
        <v>70</v>
      </c>
      <c r="M19" t="s">
        <v>50</v>
      </c>
      <c r="N19">
        <v>2</v>
      </c>
      <c r="O19">
        <f>ROUNDUP(참조!$C$2 * VLOOKUP("방어구",참조!$E:$I,N19+1,FALSE)*POWER(참조!$A$5,D19-1),-1)</f>
        <v>750000</v>
      </c>
    </row>
    <row r="20" spans="1:15" x14ac:dyDescent="0.3">
      <c r="A20">
        <v>31018</v>
      </c>
      <c r="B20" t="s">
        <v>151</v>
      </c>
      <c r="C20" t="s">
        <v>133</v>
      </c>
      <c r="D20">
        <v>3</v>
      </c>
      <c r="E20" t="s">
        <v>0</v>
      </c>
      <c r="F20">
        <v>1</v>
      </c>
      <c r="G20">
        <v>0</v>
      </c>
      <c r="H20">
        <v>0</v>
      </c>
      <c r="I20">
        <v>7</v>
      </c>
      <c r="J20">
        <v>0</v>
      </c>
      <c r="K20">
        <v>0</v>
      </c>
      <c r="L20">
        <v>70</v>
      </c>
      <c r="M20" t="s">
        <v>52</v>
      </c>
      <c r="N20">
        <v>3</v>
      </c>
      <c r="O20">
        <f>ROUNDUP(참조!$C$2 * VLOOKUP("방어구",참조!$E:$I,N20+1,FALSE)*POWER(참조!$A$5,D20-1),-1)</f>
        <v>1000000</v>
      </c>
    </row>
    <row r="21" spans="1:15" x14ac:dyDescent="0.3">
      <c r="A21" s="2">
        <v>31019</v>
      </c>
      <c r="B21" s="2" t="s">
        <v>152</v>
      </c>
      <c r="C21" s="2" t="s">
        <v>134</v>
      </c>
      <c r="D21" s="2">
        <v>4</v>
      </c>
      <c r="E21" s="2" t="s">
        <v>0</v>
      </c>
      <c r="F21" s="2">
        <v>1</v>
      </c>
      <c r="G21" s="2">
        <v>0</v>
      </c>
      <c r="H21" s="2">
        <v>0</v>
      </c>
      <c r="I21" s="2">
        <v>16</v>
      </c>
      <c r="J21" s="2">
        <v>0</v>
      </c>
      <c r="K21" s="2">
        <v>0</v>
      </c>
      <c r="L21" s="2">
        <v>0</v>
      </c>
      <c r="M21" s="2" t="s">
        <v>50</v>
      </c>
      <c r="N21" s="2">
        <v>1</v>
      </c>
      <c r="O21" s="2">
        <f>ROUNDUP(참조!$C$2 * VLOOKUP("방어구",참조!$E:$I,N21+1,FALSE)*POWER(참조!$A$5,D21-1),-1)</f>
        <v>5000000</v>
      </c>
    </row>
    <row r="22" spans="1:15" x14ac:dyDescent="0.3">
      <c r="A22" s="2">
        <v>31020</v>
      </c>
      <c r="B22" s="2" t="s">
        <v>153</v>
      </c>
      <c r="C22" s="2" t="s">
        <v>135</v>
      </c>
      <c r="D22" s="2">
        <v>4</v>
      </c>
      <c r="E22" s="2" t="s">
        <v>0</v>
      </c>
      <c r="F22" s="2">
        <v>1</v>
      </c>
      <c r="G22" s="2">
        <v>0</v>
      </c>
      <c r="H22" s="2">
        <v>0</v>
      </c>
      <c r="I22" s="2">
        <v>17</v>
      </c>
      <c r="J22" s="2">
        <v>0</v>
      </c>
      <c r="K22" s="2">
        <v>0</v>
      </c>
      <c r="L22" s="2">
        <v>0</v>
      </c>
      <c r="M22" s="2" t="s">
        <v>50</v>
      </c>
      <c r="N22" s="2">
        <v>2</v>
      </c>
      <c r="O22" s="2">
        <f>ROUNDUP(참조!$C$2 * VLOOKUP("방어구",참조!$E:$I,N22+1,FALSE)*POWER(참조!$A$5,D22-1),-1)</f>
        <v>7500000</v>
      </c>
    </row>
    <row r="23" spans="1:15" x14ac:dyDescent="0.3">
      <c r="A23" s="2">
        <v>31021</v>
      </c>
      <c r="B23" s="2" t="s">
        <v>154</v>
      </c>
      <c r="C23" s="2" t="s">
        <v>136</v>
      </c>
      <c r="D23" s="2">
        <v>4</v>
      </c>
      <c r="E23" s="2" t="s">
        <v>0</v>
      </c>
      <c r="F23" s="2">
        <v>1</v>
      </c>
      <c r="G23" s="2">
        <v>0</v>
      </c>
      <c r="H23" s="2">
        <v>0</v>
      </c>
      <c r="I23" s="2">
        <v>17</v>
      </c>
      <c r="J23" s="2">
        <v>0</v>
      </c>
      <c r="K23" s="2">
        <v>0</v>
      </c>
      <c r="L23" s="2">
        <v>0</v>
      </c>
      <c r="M23" s="2" t="s">
        <v>52</v>
      </c>
      <c r="N23" s="2">
        <v>3</v>
      </c>
      <c r="O23" s="2">
        <f>ROUNDUP(참조!$C$2 * VLOOKUP("방어구",참조!$E:$I,N23+1,FALSE)*POWER(참조!$A$5,D23-1),-1)</f>
        <v>10000000</v>
      </c>
    </row>
    <row r="24" spans="1:15" x14ac:dyDescent="0.3">
      <c r="A24" s="2">
        <v>31022</v>
      </c>
      <c r="B24" s="2" t="s">
        <v>155</v>
      </c>
      <c r="C24" s="2" t="s">
        <v>137</v>
      </c>
      <c r="D24" s="2">
        <v>4</v>
      </c>
      <c r="E24" s="2" t="s">
        <v>0</v>
      </c>
      <c r="F24" s="2">
        <v>1</v>
      </c>
      <c r="G24" s="2">
        <v>0</v>
      </c>
      <c r="H24" s="2">
        <v>0</v>
      </c>
      <c r="I24" s="2">
        <v>8</v>
      </c>
      <c r="J24" s="2">
        <v>0</v>
      </c>
      <c r="K24" s="2">
        <v>0</v>
      </c>
      <c r="L24" s="2">
        <v>80</v>
      </c>
      <c r="M24" s="2" t="s">
        <v>50</v>
      </c>
      <c r="N24" s="2">
        <v>1</v>
      </c>
      <c r="O24" s="2">
        <f>ROUNDUP(참조!$C$2 * VLOOKUP("방어구",참조!$E:$I,N24+1,FALSE)*POWER(참조!$A$5,D24-1),-1)</f>
        <v>5000000</v>
      </c>
    </row>
    <row r="25" spans="1:15" x14ac:dyDescent="0.3">
      <c r="A25" s="2">
        <v>31023</v>
      </c>
      <c r="B25" s="2" t="s">
        <v>156</v>
      </c>
      <c r="C25" s="2" t="s">
        <v>138</v>
      </c>
      <c r="D25" s="2">
        <v>4</v>
      </c>
      <c r="E25" s="2" t="s">
        <v>0</v>
      </c>
      <c r="F25" s="2">
        <v>1</v>
      </c>
      <c r="G25" s="2">
        <v>0</v>
      </c>
      <c r="H25" s="2">
        <v>0</v>
      </c>
      <c r="I25" s="2">
        <v>9</v>
      </c>
      <c r="J25" s="2">
        <v>0</v>
      </c>
      <c r="K25" s="2">
        <v>0</v>
      </c>
      <c r="L25" s="2">
        <v>90</v>
      </c>
      <c r="M25" s="2" t="s">
        <v>50</v>
      </c>
      <c r="N25" s="2">
        <v>2</v>
      </c>
      <c r="O25" s="2">
        <f>ROUNDUP(참조!$C$2 * VLOOKUP("방어구",참조!$E:$I,N25+1,FALSE)*POWER(참조!$A$5,D25-1),-1)</f>
        <v>7500000</v>
      </c>
    </row>
    <row r="26" spans="1:15" x14ac:dyDescent="0.3">
      <c r="A26" s="2">
        <v>31024</v>
      </c>
      <c r="B26" s="2" t="s">
        <v>157</v>
      </c>
      <c r="C26" s="2" t="s">
        <v>139</v>
      </c>
      <c r="D26" s="2">
        <v>4</v>
      </c>
      <c r="E26" s="2" t="s">
        <v>0</v>
      </c>
      <c r="F26" s="2">
        <v>1</v>
      </c>
      <c r="G26" s="2">
        <v>0</v>
      </c>
      <c r="H26" s="2">
        <v>0</v>
      </c>
      <c r="I26" s="2">
        <v>9</v>
      </c>
      <c r="J26" s="2">
        <v>0</v>
      </c>
      <c r="K26" s="2">
        <v>0</v>
      </c>
      <c r="L26" s="2">
        <v>90</v>
      </c>
      <c r="M26" s="2" t="s">
        <v>52</v>
      </c>
      <c r="N26" s="2">
        <v>3</v>
      </c>
      <c r="O26" s="2">
        <f>ROUNDUP(참조!$C$2 * VLOOKUP("방어구",참조!$E:$I,N26+1,FALSE)*POWER(참조!$A$5,D26-1),-1)</f>
        <v>10000000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C24" sqref="C24"/>
    </sheetView>
  </sheetViews>
  <sheetFormatPr defaultRowHeight="16.5" x14ac:dyDescent="0.3"/>
  <cols>
    <col min="2" max="2" width="18.625" bestFit="1" customWidth="1"/>
    <col min="3" max="3" width="19.5" bestFit="1" customWidth="1"/>
  </cols>
  <sheetData>
    <row r="1" spans="1:15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111</v>
      </c>
      <c r="N1" s="6" t="s">
        <v>185</v>
      </c>
      <c r="O1" s="6" t="s">
        <v>186</v>
      </c>
    </row>
    <row r="2" spans="1:15" x14ac:dyDescent="0.3">
      <c r="A2" s="4">
        <v>33000</v>
      </c>
      <c r="B2" s="4" t="s">
        <v>40</v>
      </c>
      <c r="C2" s="4" t="s">
        <v>41</v>
      </c>
      <c r="D2" s="4">
        <v>0</v>
      </c>
      <c r="E2" s="4" t="s">
        <v>0</v>
      </c>
      <c r="F2" s="4">
        <v>3</v>
      </c>
      <c r="G2" s="4">
        <v>0</v>
      </c>
      <c r="H2" s="4">
        <v>0</v>
      </c>
      <c r="I2" s="4">
        <v>1</v>
      </c>
      <c r="J2" s="4">
        <v>0</v>
      </c>
      <c r="K2" s="4">
        <v>5</v>
      </c>
      <c r="L2" s="4">
        <v>0</v>
      </c>
      <c r="M2" s="4" t="s">
        <v>50</v>
      </c>
      <c r="N2" s="4">
        <v>1</v>
      </c>
      <c r="O2" s="4">
        <f>ROUNDUP(참조!$C$2 * VLOOKUP("신발",참조!$E:$I,N2+1,FALSE)*POWER(참조!$A$5,D2-1),-1)</f>
        <v>380</v>
      </c>
    </row>
    <row r="3" spans="1:15" x14ac:dyDescent="0.3">
      <c r="A3">
        <v>33001</v>
      </c>
      <c r="B3" t="s">
        <v>42</v>
      </c>
      <c r="C3" t="s">
        <v>10</v>
      </c>
      <c r="D3">
        <v>1</v>
      </c>
      <c r="E3" t="s">
        <v>0</v>
      </c>
      <c r="F3">
        <v>3</v>
      </c>
      <c r="G3">
        <v>0</v>
      </c>
      <c r="H3">
        <v>0</v>
      </c>
      <c r="I3">
        <v>1</v>
      </c>
      <c r="J3">
        <v>0</v>
      </c>
      <c r="K3">
        <v>10</v>
      </c>
      <c r="L3">
        <v>0</v>
      </c>
      <c r="M3" t="s">
        <v>112</v>
      </c>
      <c r="N3">
        <v>1</v>
      </c>
      <c r="O3">
        <f>ROUNDUP(참조!$C$2 * VLOOKUP("신발",참조!$E:$I,N3+1,FALSE)*POWER(참조!$A$5,D3-1),-1)</f>
        <v>3750</v>
      </c>
    </row>
    <row r="4" spans="1:15" x14ac:dyDescent="0.3">
      <c r="A4">
        <v>33002</v>
      </c>
      <c r="B4" t="s">
        <v>43</v>
      </c>
      <c r="C4" t="s">
        <v>11</v>
      </c>
      <c r="D4">
        <v>1</v>
      </c>
      <c r="E4" t="s">
        <v>0</v>
      </c>
      <c r="F4">
        <v>3</v>
      </c>
      <c r="G4">
        <v>0</v>
      </c>
      <c r="H4">
        <v>0</v>
      </c>
      <c r="I4">
        <v>1</v>
      </c>
      <c r="J4">
        <v>0</v>
      </c>
      <c r="K4">
        <v>12</v>
      </c>
      <c r="L4">
        <v>0</v>
      </c>
      <c r="M4" t="s">
        <v>112</v>
      </c>
      <c r="N4">
        <v>2</v>
      </c>
      <c r="O4">
        <f>ROUNDUP(참조!$C$2 * VLOOKUP("신발",참조!$E:$I,N4+1,FALSE)*POWER(참조!$A$5,D4-1),-1)</f>
        <v>5630</v>
      </c>
    </row>
    <row r="5" spans="1:15" x14ac:dyDescent="0.3">
      <c r="A5">
        <v>33003</v>
      </c>
      <c r="B5" t="s">
        <v>44</v>
      </c>
      <c r="C5" t="s">
        <v>12</v>
      </c>
      <c r="D5">
        <v>1</v>
      </c>
      <c r="E5" t="s">
        <v>0</v>
      </c>
      <c r="F5">
        <v>3</v>
      </c>
      <c r="G5">
        <v>0</v>
      </c>
      <c r="H5">
        <v>0</v>
      </c>
      <c r="I5">
        <v>1</v>
      </c>
      <c r="J5">
        <v>0</v>
      </c>
      <c r="K5">
        <v>13</v>
      </c>
      <c r="L5">
        <v>0</v>
      </c>
      <c r="M5" t="s">
        <v>52</v>
      </c>
      <c r="N5">
        <v>3</v>
      </c>
      <c r="O5">
        <f>ROUNDUP(참조!$C$2 * VLOOKUP("신발",참조!$E:$I,N5+1,FALSE)*POWER(참조!$A$5,D5-1),-1)</f>
        <v>7500</v>
      </c>
    </row>
    <row r="6" spans="1:15" x14ac:dyDescent="0.3">
      <c r="A6" s="2">
        <v>33004</v>
      </c>
      <c r="B6" s="2" t="s">
        <v>167</v>
      </c>
      <c r="C6" s="2" t="s">
        <v>113</v>
      </c>
      <c r="D6" s="2">
        <v>2</v>
      </c>
      <c r="E6" s="2" t="s">
        <v>0</v>
      </c>
      <c r="F6" s="2">
        <v>3</v>
      </c>
      <c r="G6" s="2">
        <v>0</v>
      </c>
      <c r="H6" s="2">
        <v>0</v>
      </c>
      <c r="I6" s="2">
        <v>3</v>
      </c>
      <c r="J6" s="2">
        <v>0</v>
      </c>
      <c r="K6" s="2">
        <v>15</v>
      </c>
      <c r="L6" s="2">
        <v>0</v>
      </c>
      <c r="M6" s="2" t="s">
        <v>50</v>
      </c>
      <c r="N6" s="2">
        <v>1</v>
      </c>
      <c r="O6" s="2">
        <f>ROUNDUP(참조!$C$2 * VLOOKUP("신발",참조!$E:$I,N6+1,FALSE)*POWER(참조!$A$5,D6-1),-1)</f>
        <v>37500</v>
      </c>
    </row>
    <row r="7" spans="1:15" x14ac:dyDescent="0.3">
      <c r="A7" s="2">
        <v>33005</v>
      </c>
      <c r="B7" s="2" t="s">
        <v>168</v>
      </c>
      <c r="C7" s="2" t="s">
        <v>114</v>
      </c>
      <c r="D7" s="2">
        <v>2</v>
      </c>
      <c r="E7" s="2" t="s">
        <v>0</v>
      </c>
      <c r="F7" s="2">
        <v>3</v>
      </c>
      <c r="G7" s="2">
        <v>0</v>
      </c>
      <c r="H7" s="2">
        <v>0</v>
      </c>
      <c r="I7" s="2">
        <v>3</v>
      </c>
      <c r="J7" s="2">
        <v>0</v>
      </c>
      <c r="K7" s="2">
        <v>17</v>
      </c>
      <c r="L7" s="2">
        <v>0</v>
      </c>
      <c r="M7" s="2" t="s">
        <v>50</v>
      </c>
      <c r="N7" s="2">
        <v>2</v>
      </c>
      <c r="O7" s="2">
        <f>ROUNDUP(참조!$C$2 * VLOOKUP("신발",참조!$E:$I,N7+1,FALSE)*POWER(참조!$A$5,D7-1),-1)</f>
        <v>56250</v>
      </c>
    </row>
    <row r="8" spans="1:15" x14ac:dyDescent="0.3">
      <c r="A8" s="2">
        <v>33006</v>
      </c>
      <c r="B8" s="2" t="s">
        <v>169</v>
      </c>
      <c r="C8" s="2" t="s">
        <v>115</v>
      </c>
      <c r="D8" s="2">
        <v>2</v>
      </c>
      <c r="E8" s="2" t="s">
        <v>0</v>
      </c>
      <c r="F8" s="2">
        <v>3</v>
      </c>
      <c r="G8" s="2">
        <v>0</v>
      </c>
      <c r="H8" s="2">
        <v>0</v>
      </c>
      <c r="I8" s="2">
        <v>3</v>
      </c>
      <c r="J8" s="2">
        <v>0</v>
      </c>
      <c r="K8" s="2">
        <v>18</v>
      </c>
      <c r="L8" s="2">
        <v>0</v>
      </c>
      <c r="M8" s="2" t="s">
        <v>52</v>
      </c>
      <c r="N8" s="2">
        <v>3</v>
      </c>
      <c r="O8" s="2">
        <f>ROUNDUP(참조!$C$2 * VLOOKUP("신발",참조!$E:$I,N8+1,FALSE)*POWER(참조!$A$5,D8-1),-1)</f>
        <v>75000</v>
      </c>
    </row>
    <row r="9" spans="1:15" x14ac:dyDescent="0.3">
      <c r="A9">
        <v>33007</v>
      </c>
      <c r="B9" t="s">
        <v>170</v>
      </c>
      <c r="C9" t="s">
        <v>116</v>
      </c>
      <c r="D9">
        <v>3</v>
      </c>
      <c r="E9" t="s">
        <v>0</v>
      </c>
      <c r="F9">
        <v>3</v>
      </c>
      <c r="G9">
        <v>0</v>
      </c>
      <c r="H9">
        <v>0</v>
      </c>
      <c r="I9">
        <v>5</v>
      </c>
      <c r="J9">
        <v>0</v>
      </c>
      <c r="K9">
        <v>20</v>
      </c>
      <c r="L9">
        <v>0</v>
      </c>
      <c r="M9" t="s">
        <v>50</v>
      </c>
      <c r="N9">
        <v>1</v>
      </c>
      <c r="O9">
        <f>ROUNDUP(참조!$C$2 * VLOOKUP("신발",참조!$E:$I,N9+1,FALSE)*POWER(참조!$A$5,D9-1),-1)</f>
        <v>375000</v>
      </c>
    </row>
    <row r="10" spans="1:15" x14ac:dyDescent="0.3">
      <c r="A10">
        <v>33008</v>
      </c>
      <c r="B10" t="s">
        <v>171</v>
      </c>
      <c r="C10" t="s">
        <v>117</v>
      </c>
      <c r="D10">
        <v>3</v>
      </c>
      <c r="E10" t="s">
        <v>0</v>
      </c>
      <c r="F10">
        <v>3</v>
      </c>
      <c r="G10">
        <v>0</v>
      </c>
      <c r="H10">
        <v>0</v>
      </c>
      <c r="I10">
        <v>5</v>
      </c>
      <c r="J10">
        <v>0</v>
      </c>
      <c r="K10">
        <v>22</v>
      </c>
      <c r="L10">
        <v>0</v>
      </c>
      <c r="M10" t="s">
        <v>50</v>
      </c>
      <c r="N10">
        <v>2</v>
      </c>
      <c r="O10">
        <f>ROUNDUP(참조!$C$2 * VLOOKUP("신발",참조!$E:$I,N10+1,FALSE)*POWER(참조!$A$5,D10-1),-1)</f>
        <v>562500</v>
      </c>
    </row>
    <row r="11" spans="1:15" x14ac:dyDescent="0.3">
      <c r="A11">
        <v>33009</v>
      </c>
      <c r="B11" t="s">
        <v>172</v>
      </c>
      <c r="C11" t="s">
        <v>118</v>
      </c>
      <c r="D11">
        <v>3</v>
      </c>
      <c r="E11" t="s">
        <v>0</v>
      </c>
      <c r="F11">
        <v>3</v>
      </c>
      <c r="G11">
        <v>0</v>
      </c>
      <c r="H11">
        <v>0</v>
      </c>
      <c r="I11">
        <v>5</v>
      </c>
      <c r="J11">
        <v>0</v>
      </c>
      <c r="K11">
        <v>23</v>
      </c>
      <c r="L11">
        <v>0</v>
      </c>
      <c r="M11" t="s">
        <v>52</v>
      </c>
      <c r="N11">
        <v>3</v>
      </c>
      <c r="O11">
        <f>ROUNDUP(참조!$C$2 * VLOOKUP("신발",참조!$E:$I,N11+1,FALSE)*POWER(참조!$A$5,D11-1),-1)</f>
        <v>750000</v>
      </c>
    </row>
    <row r="12" spans="1:15" x14ac:dyDescent="0.3">
      <c r="A12" s="2">
        <v>33010</v>
      </c>
      <c r="B12" s="2" t="s">
        <v>173</v>
      </c>
      <c r="C12" s="2" t="s">
        <v>119</v>
      </c>
      <c r="D12" s="2">
        <v>4</v>
      </c>
      <c r="E12" s="2" t="s">
        <v>0</v>
      </c>
      <c r="F12" s="2">
        <v>3</v>
      </c>
      <c r="G12" s="2">
        <v>0</v>
      </c>
      <c r="H12" s="2">
        <v>0</v>
      </c>
      <c r="I12" s="2">
        <v>7</v>
      </c>
      <c r="J12" s="2">
        <v>0</v>
      </c>
      <c r="K12" s="2">
        <v>25</v>
      </c>
      <c r="L12" s="2">
        <v>0</v>
      </c>
      <c r="M12" s="2" t="s">
        <v>50</v>
      </c>
      <c r="N12" s="2">
        <v>1</v>
      </c>
      <c r="O12" s="2">
        <f>ROUNDUP(참조!$C$2 * VLOOKUP("신발",참조!$E:$I,N12+1,FALSE)*POWER(참조!$A$5,D12-1),-1)</f>
        <v>3750000</v>
      </c>
    </row>
    <row r="13" spans="1:15" x14ac:dyDescent="0.3">
      <c r="A13" s="2">
        <v>33011</v>
      </c>
      <c r="B13" s="2" t="s">
        <v>174</v>
      </c>
      <c r="C13" s="2" t="s">
        <v>120</v>
      </c>
      <c r="D13" s="2">
        <v>4</v>
      </c>
      <c r="E13" s="2" t="s">
        <v>0</v>
      </c>
      <c r="F13" s="2">
        <v>3</v>
      </c>
      <c r="G13" s="2">
        <v>0</v>
      </c>
      <c r="H13" s="2">
        <v>0</v>
      </c>
      <c r="I13" s="2">
        <v>7</v>
      </c>
      <c r="J13" s="2">
        <v>0</v>
      </c>
      <c r="K13" s="2">
        <v>27</v>
      </c>
      <c r="L13" s="2">
        <v>0</v>
      </c>
      <c r="M13" s="2" t="s">
        <v>50</v>
      </c>
      <c r="N13" s="2">
        <v>2</v>
      </c>
      <c r="O13" s="2">
        <f>ROUNDUP(참조!$C$2 * VLOOKUP("신발",참조!$E:$I,N13+1,FALSE)*POWER(참조!$A$5,D13-1),-1)</f>
        <v>5625000</v>
      </c>
    </row>
    <row r="14" spans="1:15" x14ac:dyDescent="0.3">
      <c r="A14" s="2">
        <v>33012</v>
      </c>
      <c r="B14" s="2" t="s">
        <v>175</v>
      </c>
      <c r="C14" s="2" t="s">
        <v>121</v>
      </c>
      <c r="D14" s="2">
        <v>4</v>
      </c>
      <c r="E14" s="2" t="s">
        <v>0</v>
      </c>
      <c r="F14" s="2">
        <v>3</v>
      </c>
      <c r="G14" s="2">
        <v>0</v>
      </c>
      <c r="H14" s="2">
        <v>0</v>
      </c>
      <c r="I14" s="2">
        <v>7</v>
      </c>
      <c r="J14" s="2">
        <v>0</v>
      </c>
      <c r="K14" s="2">
        <v>28</v>
      </c>
      <c r="L14" s="2">
        <v>0</v>
      </c>
      <c r="M14" s="2" t="s">
        <v>52</v>
      </c>
      <c r="N14" s="2">
        <v>3</v>
      </c>
      <c r="O14" s="2">
        <f>ROUNDUP(참조!$C$2 * VLOOKUP("신발",참조!$E:$I,N14+1,FALSE)*POWER(참조!$A$5,D14-1),-1)</f>
        <v>7500000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L25" sqref="L25"/>
    </sheetView>
  </sheetViews>
  <sheetFormatPr defaultRowHeight="16.5" x14ac:dyDescent="0.3"/>
  <cols>
    <col min="2" max="2" width="18.625" bestFit="1" customWidth="1"/>
    <col min="3" max="3" width="19.5" bestFit="1" customWidth="1"/>
  </cols>
  <sheetData>
    <row r="1" spans="1:15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111</v>
      </c>
      <c r="N1" s="6" t="s">
        <v>185</v>
      </c>
      <c r="O1" s="6" t="s">
        <v>186</v>
      </c>
    </row>
    <row r="2" spans="1:15" x14ac:dyDescent="0.3">
      <c r="A2" s="4">
        <v>32000</v>
      </c>
      <c r="B2" s="4" t="s">
        <v>223</v>
      </c>
      <c r="C2" s="4" t="s">
        <v>39</v>
      </c>
      <c r="D2" s="4">
        <v>0</v>
      </c>
      <c r="E2" s="4" t="s">
        <v>0</v>
      </c>
      <c r="F2" s="4">
        <v>2</v>
      </c>
      <c r="G2" s="4">
        <v>0</v>
      </c>
      <c r="H2" s="4">
        <v>0</v>
      </c>
      <c r="I2" s="4">
        <v>0</v>
      </c>
      <c r="J2" s="4">
        <v>10</v>
      </c>
      <c r="K2" s="4">
        <v>0</v>
      </c>
      <c r="L2" s="4">
        <v>0</v>
      </c>
      <c r="M2" s="4" t="s">
        <v>50</v>
      </c>
      <c r="N2" s="4">
        <v>1</v>
      </c>
      <c r="O2" s="4">
        <f>ROUNDUP(참조!$C$2 * VLOOKUP("악세",참조!$E:$I,N2+1,FALSE)*POWER(참조!$A$5,D2-1),-1)</f>
        <v>630</v>
      </c>
    </row>
    <row r="3" spans="1:15" x14ac:dyDescent="0.3">
      <c r="A3">
        <v>32001</v>
      </c>
      <c r="B3" t="s">
        <v>224</v>
      </c>
      <c r="C3" t="s">
        <v>7</v>
      </c>
      <c r="D3">
        <v>1</v>
      </c>
      <c r="E3" t="s">
        <v>0</v>
      </c>
      <c r="F3">
        <v>2</v>
      </c>
      <c r="G3">
        <v>0</v>
      </c>
      <c r="H3">
        <v>0</v>
      </c>
      <c r="I3">
        <v>0</v>
      </c>
      <c r="J3">
        <v>15</v>
      </c>
      <c r="K3">
        <v>0</v>
      </c>
      <c r="L3">
        <v>0</v>
      </c>
      <c r="M3" t="s">
        <v>112</v>
      </c>
      <c r="N3">
        <v>1</v>
      </c>
      <c r="O3">
        <f>ROUNDUP(참조!$C$2 * VLOOKUP("악세",참조!$E:$I,N3+1,FALSE)*POWER(참조!$A$5,D3-1),-1)</f>
        <v>6250</v>
      </c>
    </row>
    <row r="4" spans="1:15" x14ac:dyDescent="0.3">
      <c r="A4">
        <v>32002</v>
      </c>
      <c r="B4" t="s">
        <v>225</v>
      </c>
      <c r="C4" t="s">
        <v>8</v>
      </c>
      <c r="D4">
        <v>1</v>
      </c>
      <c r="E4" t="s">
        <v>0</v>
      </c>
      <c r="F4">
        <v>2</v>
      </c>
      <c r="G4">
        <v>0</v>
      </c>
      <c r="H4">
        <v>0</v>
      </c>
      <c r="I4">
        <v>0</v>
      </c>
      <c r="J4">
        <v>20</v>
      </c>
      <c r="K4">
        <v>0</v>
      </c>
      <c r="L4">
        <v>0</v>
      </c>
      <c r="M4" t="s">
        <v>112</v>
      </c>
      <c r="N4">
        <v>2</v>
      </c>
      <c r="O4">
        <f>ROUNDUP(참조!$C$2 * VLOOKUP("악세",참조!$E:$I,N4+1,FALSE)*POWER(참조!$A$5,D4-1),-1)</f>
        <v>9380</v>
      </c>
    </row>
    <row r="5" spans="1:15" x14ac:dyDescent="0.3">
      <c r="A5">
        <v>32003</v>
      </c>
      <c r="B5" t="s">
        <v>226</v>
      </c>
      <c r="C5" t="s">
        <v>9</v>
      </c>
      <c r="D5">
        <v>1</v>
      </c>
      <c r="E5" t="s">
        <v>0</v>
      </c>
      <c r="F5">
        <v>2</v>
      </c>
      <c r="G5">
        <v>0</v>
      </c>
      <c r="H5">
        <v>0</v>
      </c>
      <c r="I5">
        <v>0</v>
      </c>
      <c r="J5">
        <v>22</v>
      </c>
      <c r="K5">
        <v>0</v>
      </c>
      <c r="L5">
        <v>0</v>
      </c>
      <c r="M5" t="s">
        <v>52</v>
      </c>
      <c r="N5">
        <v>3</v>
      </c>
      <c r="O5">
        <f>ROUNDUP(참조!$C$2 * VLOOKUP("악세",참조!$E:$I,N5+1,FALSE)*POWER(참조!$A$5,D5-1),-1)</f>
        <v>12500</v>
      </c>
    </row>
    <row r="6" spans="1:15" x14ac:dyDescent="0.3">
      <c r="A6" s="2">
        <v>32004</v>
      </c>
      <c r="B6" s="2" t="s">
        <v>227</v>
      </c>
      <c r="C6" s="2" t="s">
        <v>158</v>
      </c>
      <c r="D6" s="2">
        <v>2</v>
      </c>
      <c r="E6" s="2" t="s">
        <v>0</v>
      </c>
      <c r="F6" s="2">
        <v>2</v>
      </c>
      <c r="G6" s="2">
        <v>0</v>
      </c>
      <c r="H6" s="2">
        <v>0</v>
      </c>
      <c r="I6" s="2">
        <v>0</v>
      </c>
      <c r="J6" s="2">
        <v>25</v>
      </c>
      <c r="K6" s="2">
        <v>0</v>
      </c>
      <c r="L6" s="2">
        <v>0</v>
      </c>
      <c r="M6" s="2" t="s">
        <v>50</v>
      </c>
      <c r="N6" s="2">
        <v>1</v>
      </c>
      <c r="O6" s="2">
        <f>ROUNDUP(참조!$C$2 * VLOOKUP("악세",참조!$E:$I,N6+1,FALSE)*POWER(참조!$A$5,D6-1),-1)</f>
        <v>62500</v>
      </c>
    </row>
    <row r="7" spans="1:15" x14ac:dyDescent="0.3">
      <c r="A7" s="2">
        <v>32005</v>
      </c>
      <c r="B7" s="2" t="s">
        <v>228</v>
      </c>
      <c r="C7" s="2" t="s">
        <v>159</v>
      </c>
      <c r="D7" s="2">
        <v>2</v>
      </c>
      <c r="E7" s="2" t="s">
        <v>0</v>
      </c>
      <c r="F7" s="2">
        <v>2</v>
      </c>
      <c r="G7" s="2">
        <v>0</v>
      </c>
      <c r="H7" s="2">
        <v>0</v>
      </c>
      <c r="I7" s="2">
        <v>0</v>
      </c>
      <c r="J7" s="2">
        <v>30</v>
      </c>
      <c r="K7" s="2">
        <v>0</v>
      </c>
      <c r="L7" s="2">
        <v>0</v>
      </c>
      <c r="M7" s="2" t="s">
        <v>50</v>
      </c>
      <c r="N7" s="2">
        <v>2</v>
      </c>
      <c r="O7" s="2">
        <f>ROUNDUP(참조!$C$2 * VLOOKUP("악세",참조!$E:$I,N7+1,FALSE)*POWER(참조!$A$5,D7-1),-1)</f>
        <v>93750</v>
      </c>
    </row>
    <row r="8" spans="1:15" x14ac:dyDescent="0.3">
      <c r="A8" s="2">
        <v>32006</v>
      </c>
      <c r="B8" s="2" t="s">
        <v>229</v>
      </c>
      <c r="C8" s="2" t="s">
        <v>160</v>
      </c>
      <c r="D8" s="2">
        <v>2</v>
      </c>
      <c r="E8" s="2" t="s">
        <v>0</v>
      </c>
      <c r="F8" s="2">
        <v>2</v>
      </c>
      <c r="G8" s="2">
        <v>0</v>
      </c>
      <c r="H8" s="2">
        <v>0</v>
      </c>
      <c r="I8" s="2">
        <v>0</v>
      </c>
      <c r="J8" s="2">
        <v>32</v>
      </c>
      <c r="K8" s="2">
        <v>0</v>
      </c>
      <c r="L8" s="2">
        <v>0</v>
      </c>
      <c r="M8" s="2" t="s">
        <v>52</v>
      </c>
      <c r="N8" s="2">
        <v>3</v>
      </c>
      <c r="O8" s="2">
        <f>ROUNDUP(참조!$C$2 * VLOOKUP("악세",참조!$E:$I,N8+1,FALSE)*POWER(참조!$A$5,D8-1),-1)</f>
        <v>125000</v>
      </c>
    </row>
    <row r="9" spans="1:15" x14ac:dyDescent="0.3">
      <c r="A9">
        <v>32007</v>
      </c>
      <c r="B9" t="s">
        <v>230</v>
      </c>
      <c r="C9" t="s">
        <v>161</v>
      </c>
      <c r="D9">
        <v>3</v>
      </c>
      <c r="E9" t="s">
        <v>0</v>
      </c>
      <c r="F9">
        <v>2</v>
      </c>
      <c r="G9">
        <v>0</v>
      </c>
      <c r="H9">
        <v>0</v>
      </c>
      <c r="I9">
        <v>0</v>
      </c>
      <c r="J9">
        <v>35</v>
      </c>
      <c r="K9">
        <v>0</v>
      </c>
      <c r="L9">
        <v>0</v>
      </c>
      <c r="M9" t="s">
        <v>50</v>
      </c>
      <c r="N9">
        <v>1</v>
      </c>
      <c r="O9">
        <f>ROUNDUP(참조!$C$2 * VLOOKUP("악세",참조!$E:$I,N9+1,FALSE)*POWER(참조!$A$5,D9-1),-1)</f>
        <v>625000</v>
      </c>
    </row>
    <row r="10" spans="1:15" x14ac:dyDescent="0.3">
      <c r="A10">
        <v>32008</v>
      </c>
      <c r="B10" t="s">
        <v>231</v>
      </c>
      <c r="C10" t="s">
        <v>162</v>
      </c>
      <c r="D10">
        <v>3</v>
      </c>
      <c r="E10" t="s">
        <v>0</v>
      </c>
      <c r="F10">
        <v>2</v>
      </c>
      <c r="G10">
        <v>0</v>
      </c>
      <c r="H10">
        <v>0</v>
      </c>
      <c r="I10">
        <v>0</v>
      </c>
      <c r="J10">
        <v>40</v>
      </c>
      <c r="K10">
        <v>0</v>
      </c>
      <c r="L10">
        <v>0</v>
      </c>
      <c r="M10" t="s">
        <v>50</v>
      </c>
      <c r="N10">
        <v>2</v>
      </c>
      <c r="O10">
        <f>ROUNDUP(참조!$C$2 * VLOOKUP("악세",참조!$E:$I,N10+1,FALSE)*POWER(참조!$A$5,D10-1),-1)</f>
        <v>937500</v>
      </c>
    </row>
    <row r="11" spans="1:15" x14ac:dyDescent="0.3">
      <c r="A11">
        <v>32009</v>
      </c>
      <c r="B11" t="s">
        <v>232</v>
      </c>
      <c r="C11" t="s">
        <v>163</v>
      </c>
      <c r="D11">
        <v>3</v>
      </c>
      <c r="E11" t="s">
        <v>0</v>
      </c>
      <c r="F11">
        <v>2</v>
      </c>
      <c r="G11">
        <v>0</v>
      </c>
      <c r="H11">
        <v>0</v>
      </c>
      <c r="I11">
        <v>0</v>
      </c>
      <c r="J11">
        <v>42</v>
      </c>
      <c r="K11">
        <v>0</v>
      </c>
      <c r="L11">
        <v>0</v>
      </c>
      <c r="M11" t="s">
        <v>52</v>
      </c>
      <c r="N11">
        <v>3</v>
      </c>
      <c r="O11">
        <f>ROUNDUP(참조!$C$2 * VLOOKUP("악세",참조!$E:$I,N11+1,FALSE)*POWER(참조!$A$5,D11-1),-1)</f>
        <v>1250000</v>
      </c>
    </row>
    <row r="12" spans="1:15" x14ac:dyDescent="0.3">
      <c r="A12" s="2">
        <v>32010</v>
      </c>
      <c r="B12" s="2" t="s">
        <v>233</v>
      </c>
      <c r="C12" s="2" t="s">
        <v>164</v>
      </c>
      <c r="D12" s="2">
        <v>4</v>
      </c>
      <c r="E12" s="2" t="s">
        <v>0</v>
      </c>
      <c r="F12" s="2">
        <v>2</v>
      </c>
      <c r="G12" s="2">
        <v>0</v>
      </c>
      <c r="H12" s="2">
        <v>0</v>
      </c>
      <c r="I12" s="2">
        <v>0</v>
      </c>
      <c r="J12" s="2">
        <v>45</v>
      </c>
      <c r="K12" s="2">
        <v>0</v>
      </c>
      <c r="L12" s="2">
        <v>0</v>
      </c>
      <c r="M12" s="2" t="s">
        <v>50</v>
      </c>
      <c r="N12" s="2">
        <v>1</v>
      </c>
      <c r="O12" s="2">
        <f>ROUNDUP(참조!$C$2 * VLOOKUP("악세",참조!$E:$I,N12+1,FALSE)*POWER(참조!$A$5,D12-1),-1)</f>
        <v>6250000</v>
      </c>
    </row>
    <row r="13" spans="1:15" x14ac:dyDescent="0.3">
      <c r="A13" s="2">
        <v>32011</v>
      </c>
      <c r="B13" s="2" t="s">
        <v>234</v>
      </c>
      <c r="C13" s="2" t="s">
        <v>165</v>
      </c>
      <c r="D13" s="2">
        <v>4</v>
      </c>
      <c r="E13" s="2" t="s">
        <v>0</v>
      </c>
      <c r="F13" s="2">
        <v>2</v>
      </c>
      <c r="G13" s="2">
        <v>0</v>
      </c>
      <c r="H13" s="2">
        <v>0</v>
      </c>
      <c r="I13" s="2">
        <v>0</v>
      </c>
      <c r="J13" s="2">
        <v>50</v>
      </c>
      <c r="K13" s="2">
        <v>0</v>
      </c>
      <c r="L13" s="2">
        <v>0</v>
      </c>
      <c r="M13" s="2" t="s">
        <v>50</v>
      </c>
      <c r="N13" s="2">
        <v>2</v>
      </c>
      <c r="O13" s="2">
        <f>ROUNDUP(참조!$C$2 * VLOOKUP("악세",참조!$E:$I,N13+1,FALSE)*POWER(참조!$A$5,D13-1),-1)</f>
        <v>9375000</v>
      </c>
    </row>
    <row r="14" spans="1:15" x14ac:dyDescent="0.3">
      <c r="A14" s="2">
        <v>32012</v>
      </c>
      <c r="B14" s="2" t="s">
        <v>235</v>
      </c>
      <c r="C14" s="2" t="s">
        <v>166</v>
      </c>
      <c r="D14" s="2">
        <v>4</v>
      </c>
      <c r="E14" s="2" t="s">
        <v>0</v>
      </c>
      <c r="F14" s="2">
        <v>2</v>
      </c>
      <c r="G14" s="2">
        <v>0</v>
      </c>
      <c r="H14" s="2">
        <v>0</v>
      </c>
      <c r="I14" s="2">
        <v>0</v>
      </c>
      <c r="J14" s="2">
        <v>52</v>
      </c>
      <c r="K14" s="2">
        <v>0</v>
      </c>
      <c r="L14" s="2">
        <v>0</v>
      </c>
      <c r="M14" s="2" t="s">
        <v>52</v>
      </c>
      <c r="N14" s="2">
        <v>3</v>
      </c>
      <c r="O14" s="2">
        <f>ROUNDUP(참조!$C$2 * VLOOKUP("악세",참조!$E:$I,N14+1,FALSE)*POWER(참조!$A$5,D14-1),-1)</f>
        <v>12500000</v>
      </c>
    </row>
    <row r="15" spans="1:15" x14ac:dyDescent="0.3">
      <c r="A15">
        <v>32013</v>
      </c>
      <c r="B15" t="s">
        <v>236</v>
      </c>
      <c r="C15" t="s">
        <v>239</v>
      </c>
      <c r="D15">
        <v>3</v>
      </c>
      <c r="E15" t="s">
        <v>0</v>
      </c>
      <c r="F15">
        <v>2</v>
      </c>
      <c r="G15">
        <v>3</v>
      </c>
      <c r="H15">
        <v>0</v>
      </c>
      <c r="I15">
        <v>0</v>
      </c>
      <c r="J15">
        <v>42</v>
      </c>
      <c r="K15">
        <v>0</v>
      </c>
      <c r="L15">
        <v>0</v>
      </c>
      <c r="M15" t="s">
        <v>242</v>
      </c>
      <c r="N15">
        <v>4</v>
      </c>
      <c r="O15">
        <f>ROUNDUP(참조!$C$2 * VLOOKUP("악세",참조!$E:$I,N15+1,FALSE)*POWER(참조!$A$5,D15-1),-1)</f>
        <v>1250000</v>
      </c>
    </row>
    <row r="16" spans="1:15" x14ac:dyDescent="0.3">
      <c r="A16">
        <v>32014</v>
      </c>
      <c r="B16" t="s">
        <v>237</v>
      </c>
      <c r="C16" t="s">
        <v>240</v>
      </c>
      <c r="D16">
        <v>3</v>
      </c>
      <c r="E16" t="s">
        <v>0</v>
      </c>
      <c r="F16">
        <v>2</v>
      </c>
      <c r="G16">
        <v>0</v>
      </c>
      <c r="H16">
        <v>3</v>
      </c>
      <c r="I16">
        <v>0</v>
      </c>
      <c r="J16">
        <v>42</v>
      </c>
      <c r="K16">
        <v>0</v>
      </c>
      <c r="L16">
        <v>0</v>
      </c>
      <c r="M16" t="s">
        <v>242</v>
      </c>
      <c r="N16">
        <v>4</v>
      </c>
      <c r="O16">
        <f>ROUNDUP(참조!$C$2 * VLOOKUP("악세",참조!$E:$I,N16+1,FALSE)*POWER(참조!$A$5,D16-1),-1)</f>
        <v>1250000</v>
      </c>
    </row>
    <row r="17" spans="1:15" x14ac:dyDescent="0.3">
      <c r="A17">
        <v>32015</v>
      </c>
      <c r="B17" t="s">
        <v>238</v>
      </c>
      <c r="C17" t="s">
        <v>241</v>
      </c>
      <c r="D17">
        <v>3</v>
      </c>
      <c r="E17" t="s">
        <v>0</v>
      </c>
      <c r="F17">
        <v>2</v>
      </c>
      <c r="G17">
        <v>0</v>
      </c>
      <c r="H17">
        <v>0</v>
      </c>
      <c r="I17">
        <v>3</v>
      </c>
      <c r="J17">
        <v>42</v>
      </c>
      <c r="K17">
        <v>0</v>
      </c>
      <c r="L17">
        <v>0</v>
      </c>
      <c r="M17" t="s">
        <v>242</v>
      </c>
      <c r="N17">
        <v>4</v>
      </c>
      <c r="O17">
        <f>ROUNDUP(참조!$C$2 * VLOOKUP("악세",참조!$E:$I,N17+1,FALSE)*POWER(참조!$A$5,D17-1),-1)</f>
        <v>1250000</v>
      </c>
    </row>
    <row r="18" spans="1:15" x14ac:dyDescent="0.3">
      <c r="A18">
        <v>32016</v>
      </c>
      <c r="B18" t="s">
        <v>243</v>
      </c>
      <c r="C18" t="s">
        <v>244</v>
      </c>
      <c r="D18">
        <v>3</v>
      </c>
      <c r="E18" t="s">
        <v>0</v>
      </c>
      <c r="F18">
        <v>2</v>
      </c>
      <c r="G18">
        <v>0</v>
      </c>
      <c r="H18">
        <v>0</v>
      </c>
      <c r="I18">
        <v>0</v>
      </c>
      <c r="J18">
        <v>42</v>
      </c>
      <c r="K18">
        <v>3</v>
      </c>
      <c r="L18">
        <v>0</v>
      </c>
      <c r="M18" t="s">
        <v>242</v>
      </c>
      <c r="N18">
        <v>4</v>
      </c>
      <c r="O18">
        <f>ROUNDUP(참조!$C$2 * VLOOKUP("악세",참조!$E:$I,N18+1,FALSE)*POWER(참조!$A$5,D18-1),-1)</f>
        <v>1250000</v>
      </c>
    </row>
    <row r="19" spans="1:15" x14ac:dyDescent="0.3">
      <c r="A19">
        <v>32017</v>
      </c>
      <c r="B19" t="s">
        <v>245</v>
      </c>
      <c r="C19" t="s">
        <v>246</v>
      </c>
      <c r="D19">
        <v>3</v>
      </c>
      <c r="E19" t="s">
        <v>0</v>
      </c>
      <c r="F19">
        <v>2</v>
      </c>
      <c r="G19">
        <v>0</v>
      </c>
      <c r="H19">
        <v>0</v>
      </c>
      <c r="I19">
        <v>0</v>
      </c>
      <c r="J19">
        <v>42</v>
      </c>
      <c r="K19">
        <v>0</v>
      </c>
      <c r="L19">
        <v>15</v>
      </c>
      <c r="M19" t="s">
        <v>242</v>
      </c>
      <c r="N19">
        <v>4</v>
      </c>
      <c r="O19">
        <f>ROUNDUP(참조!$C$2 * VLOOKUP("악세",참조!$E:$I,N19+1,FALSE)*POWER(참조!$A$5,D19-1),-1)</f>
        <v>1250000</v>
      </c>
    </row>
    <row r="20" spans="1:15" x14ac:dyDescent="0.3">
      <c r="A20" s="2">
        <v>32018</v>
      </c>
      <c r="B20" s="2" t="s">
        <v>247</v>
      </c>
      <c r="C20" s="2" t="s">
        <v>248</v>
      </c>
      <c r="D20" s="2">
        <v>4</v>
      </c>
      <c r="E20" s="2" t="s">
        <v>0</v>
      </c>
      <c r="F20" s="2">
        <v>2</v>
      </c>
      <c r="G20" s="2">
        <v>3</v>
      </c>
      <c r="H20" s="2">
        <v>0</v>
      </c>
      <c r="I20" s="2">
        <v>0</v>
      </c>
      <c r="J20" s="2">
        <v>50</v>
      </c>
      <c r="K20" s="2">
        <v>0</v>
      </c>
      <c r="L20" s="2">
        <v>0</v>
      </c>
      <c r="M20" s="2" t="s">
        <v>242</v>
      </c>
      <c r="N20" s="2">
        <v>4</v>
      </c>
      <c r="O20" s="2">
        <f>ROUNDUP(참조!$C$2 * VLOOKUP("악세",참조!$E:$I,N20+1,FALSE)*POWER(참조!$A$5,D20-1),-1)</f>
        <v>12500000</v>
      </c>
    </row>
    <row r="21" spans="1:15" x14ac:dyDescent="0.3">
      <c r="A21" s="2">
        <v>32019</v>
      </c>
      <c r="B21" s="2" t="s">
        <v>249</v>
      </c>
      <c r="C21" s="2" t="s">
        <v>250</v>
      </c>
      <c r="D21" s="2">
        <v>4</v>
      </c>
      <c r="E21" s="2" t="s">
        <v>0</v>
      </c>
      <c r="F21" s="2">
        <v>2</v>
      </c>
      <c r="G21" s="2">
        <v>0</v>
      </c>
      <c r="H21" s="2">
        <v>3</v>
      </c>
      <c r="I21" s="2">
        <v>0</v>
      </c>
      <c r="J21" s="2">
        <v>50</v>
      </c>
      <c r="K21" s="2">
        <v>0</v>
      </c>
      <c r="L21" s="2">
        <v>0</v>
      </c>
      <c r="M21" s="2" t="s">
        <v>242</v>
      </c>
      <c r="N21" s="2">
        <v>4</v>
      </c>
      <c r="O21" s="2">
        <f>ROUNDUP(참조!$C$2 * VLOOKUP("악세",참조!$E:$I,N21+1,FALSE)*POWER(참조!$A$5,D21-1),-1)</f>
        <v>12500000</v>
      </c>
    </row>
    <row r="22" spans="1:15" x14ac:dyDescent="0.3">
      <c r="A22" s="2">
        <v>32020</v>
      </c>
      <c r="B22" s="2" t="s">
        <v>251</v>
      </c>
      <c r="C22" s="2" t="s">
        <v>252</v>
      </c>
      <c r="D22" s="2">
        <v>4</v>
      </c>
      <c r="E22" s="2" t="s">
        <v>0</v>
      </c>
      <c r="F22" s="2">
        <v>2</v>
      </c>
      <c r="G22" s="2">
        <v>0</v>
      </c>
      <c r="H22" s="2">
        <v>0</v>
      </c>
      <c r="I22" s="2">
        <v>3</v>
      </c>
      <c r="J22" s="2">
        <v>50</v>
      </c>
      <c r="K22" s="2">
        <v>0</v>
      </c>
      <c r="L22" s="2">
        <v>0</v>
      </c>
      <c r="M22" s="2" t="s">
        <v>242</v>
      </c>
      <c r="N22" s="2">
        <v>4</v>
      </c>
      <c r="O22" s="2">
        <f>ROUNDUP(참조!$C$2 * VLOOKUP("악세",참조!$E:$I,N22+1,FALSE)*POWER(참조!$A$5,D22-1),-1)</f>
        <v>12500000</v>
      </c>
    </row>
    <row r="23" spans="1:15" x14ac:dyDescent="0.3">
      <c r="A23" s="2">
        <v>32021</v>
      </c>
      <c r="B23" s="2" t="s">
        <v>253</v>
      </c>
      <c r="C23" s="2" t="s">
        <v>254</v>
      </c>
      <c r="D23" s="2">
        <v>4</v>
      </c>
      <c r="E23" s="2" t="s">
        <v>0</v>
      </c>
      <c r="F23" s="2">
        <v>2</v>
      </c>
      <c r="G23" s="2">
        <v>0</v>
      </c>
      <c r="H23" s="2">
        <v>0</v>
      </c>
      <c r="I23" s="2">
        <v>0</v>
      </c>
      <c r="J23" s="2">
        <v>50</v>
      </c>
      <c r="K23" s="2">
        <v>3</v>
      </c>
      <c r="L23" s="2">
        <v>0</v>
      </c>
      <c r="M23" s="2" t="s">
        <v>242</v>
      </c>
      <c r="N23" s="2">
        <v>4</v>
      </c>
      <c r="O23" s="2">
        <f>ROUNDUP(참조!$C$2 * VLOOKUP("악세",참조!$E:$I,N23+1,FALSE)*POWER(참조!$A$5,D23-1),-1)</f>
        <v>12500000</v>
      </c>
    </row>
    <row r="24" spans="1:15" x14ac:dyDescent="0.3">
      <c r="A24" s="2">
        <v>32022</v>
      </c>
      <c r="B24" s="2" t="s">
        <v>255</v>
      </c>
      <c r="C24" s="2" t="s">
        <v>256</v>
      </c>
      <c r="D24" s="2">
        <v>4</v>
      </c>
      <c r="E24" s="2" t="s">
        <v>0</v>
      </c>
      <c r="F24" s="2">
        <v>2</v>
      </c>
      <c r="G24" s="2">
        <v>0</v>
      </c>
      <c r="H24" s="2">
        <v>0</v>
      </c>
      <c r="I24" s="2">
        <v>0</v>
      </c>
      <c r="J24" s="2">
        <v>50</v>
      </c>
      <c r="K24" s="2">
        <v>0</v>
      </c>
      <c r="L24" s="2">
        <v>15</v>
      </c>
      <c r="M24" s="2" t="s">
        <v>242</v>
      </c>
      <c r="N24" s="2">
        <v>4</v>
      </c>
      <c r="O24" s="2">
        <f>ROUNDUP(참조!$C$2 * VLOOKUP("악세",참조!$E:$I,N24+1,FALSE)*POWER(참조!$A$5,D24-1),-1)</f>
        <v>12500000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6" sqref="I6"/>
    </sheetView>
  </sheetViews>
  <sheetFormatPr defaultRowHeight="16.5" x14ac:dyDescent="0.3"/>
  <sheetData>
    <row r="1" spans="1:9" x14ac:dyDescent="0.3">
      <c r="A1" t="s">
        <v>177</v>
      </c>
      <c r="B1" t="s">
        <v>178</v>
      </c>
      <c r="C1" t="s">
        <v>179</v>
      </c>
      <c r="F1">
        <v>1</v>
      </c>
      <c r="G1">
        <v>2</v>
      </c>
      <c r="H1">
        <v>3</v>
      </c>
      <c r="I1">
        <v>4</v>
      </c>
    </row>
    <row r="2" spans="1:9" x14ac:dyDescent="0.3">
      <c r="A2">
        <v>500</v>
      </c>
      <c r="B2">
        <v>10</v>
      </c>
      <c r="C2">
        <f>A2*B2</f>
        <v>5000</v>
      </c>
      <c r="E2" t="s">
        <v>187</v>
      </c>
      <c r="F2">
        <v>1.5</v>
      </c>
      <c r="G2">
        <f>F2*1.5</f>
        <v>2.25</v>
      </c>
      <c r="H2">
        <f>F2*2</f>
        <v>3</v>
      </c>
      <c r="I2">
        <v>3</v>
      </c>
    </row>
    <row r="3" spans="1:9" x14ac:dyDescent="0.3">
      <c r="E3" t="s">
        <v>180</v>
      </c>
      <c r="F3">
        <v>1</v>
      </c>
      <c r="G3">
        <f>F3*1.5</f>
        <v>1.5</v>
      </c>
      <c r="H3">
        <f t="shared" ref="H3:H5" si="0">F3*2</f>
        <v>2</v>
      </c>
      <c r="I3">
        <v>2</v>
      </c>
    </row>
    <row r="4" spans="1:9" x14ac:dyDescent="0.3">
      <c r="A4" t="s">
        <v>197</v>
      </c>
      <c r="E4" t="s">
        <v>181</v>
      </c>
      <c r="F4">
        <f>5/4</f>
        <v>1.25</v>
      </c>
      <c r="G4">
        <f t="shared" ref="G4:G5" si="1">F4*1.5</f>
        <v>1.875</v>
      </c>
      <c r="H4">
        <f t="shared" si="0"/>
        <v>2.5</v>
      </c>
      <c r="I4">
        <v>2.5</v>
      </c>
    </row>
    <row r="5" spans="1:9" x14ac:dyDescent="0.3">
      <c r="A5">
        <v>10</v>
      </c>
      <c r="E5" t="s">
        <v>182</v>
      </c>
      <c r="F5">
        <f>3/4</f>
        <v>0.75</v>
      </c>
      <c r="G5">
        <f t="shared" si="1"/>
        <v>1.125</v>
      </c>
      <c r="H5">
        <f t="shared" si="0"/>
        <v>1.5</v>
      </c>
      <c r="I5">
        <v>1.5</v>
      </c>
    </row>
    <row r="6" spans="1:9" x14ac:dyDescent="0.3">
      <c r="E6" t="s">
        <v>183</v>
      </c>
      <c r="F6">
        <v>0.02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무기</vt:lpstr>
      <vt:lpstr>갑옷</vt:lpstr>
      <vt:lpstr>신발</vt:lpstr>
      <vt:lpstr>장신구</vt:lpstr>
      <vt:lpstr>참조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DongEon</dc:creator>
  <cp:lastModifiedBy>DongEon</cp:lastModifiedBy>
  <dcterms:created xsi:type="dcterms:W3CDTF">2016-06-19T01:53:55Z</dcterms:created>
  <dcterms:modified xsi:type="dcterms:W3CDTF">2016-11-15T00:01:19Z</dcterms:modified>
</cp:coreProperties>
</file>