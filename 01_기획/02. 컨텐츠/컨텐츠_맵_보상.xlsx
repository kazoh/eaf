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075" windowHeight="25155"/>
  </bookViews>
  <sheets>
    <sheet name="맵 보상 기준" sheetId="1" r:id="rId1"/>
    <sheet name="설정" sheetId="2" r:id="rId2"/>
    <sheet name="Table_Data_Item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F22" i="1" l="1"/>
  <c r="G22" i="1"/>
  <c r="AD22" i="1"/>
  <c r="AE22" i="1"/>
  <c r="AF22" i="1"/>
  <c r="AG22" i="1"/>
  <c r="AH22" i="1"/>
  <c r="AI22" i="1"/>
  <c r="AJ22" i="1"/>
  <c r="AK22" i="1"/>
  <c r="AL22" i="1"/>
  <c r="AM22" i="1"/>
  <c r="F19" i="1"/>
  <c r="G19" i="1"/>
  <c r="AD19" i="1"/>
  <c r="AE19" i="1"/>
  <c r="AF19" i="1"/>
  <c r="AG19" i="1"/>
  <c r="AH19" i="1"/>
  <c r="AI19" i="1"/>
  <c r="AJ19" i="1"/>
  <c r="AK19" i="1"/>
  <c r="AL19" i="1"/>
  <c r="AM19" i="1"/>
  <c r="F16" i="1"/>
  <c r="G16" i="1"/>
  <c r="AD16" i="1"/>
  <c r="AE16" i="1"/>
  <c r="AF16" i="1"/>
  <c r="AG16" i="1"/>
  <c r="AH16" i="1"/>
  <c r="AI16" i="1"/>
  <c r="AJ16" i="1"/>
  <c r="AK16" i="1"/>
  <c r="AL16" i="1"/>
  <c r="AM16" i="1"/>
  <c r="F13" i="1"/>
  <c r="G13" i="1"/>
  <c r="AD13" i="1"/>
  <c r="AE13" i="1"/>
  <c r="AF13" i="1"/>
  <c r="AG13" i="1"/>
  <c r="AH13" i="1"/>
  <c r="AI13" i="1"/>
  <c r="AJ13" i="1"/>
  <c r="AK13" i="1"/>
  <c r="AL13" i="1"/>
  <c r="AM13" i="1"/>
  <c r="F12" i="1"/>
  <c r="G12" i="1"/>
  <c r="F15" i="1"/>
  <c r="G15" i="1"/>
  <c r="F18" i="1"/>
  <c r="G18" i="1"/>
  <c r="F21" i="1"/>
  <c r="G21" i="1"/>
  <c r="AD12" i="1"/>
  <c r="AE12" i="1"/>
  <c r="AF12" i="1"/>
  <c r="AG12" i="1"/>
  <c r="AH12" i="1"/>
  <c r="AI12" i="1"/>
  <c r="AJ12" i="1"/>
  <c r="AK12" i="1"/>
  <c r="AL12" i="1"/>
  <c r="AM12" i="1"/>
  <c r="AD14" i="1"/>
  <c r="AE14" i="1"/>
  <c r="AF14" i="1"/>
  <c r="AG14" i="1"/>
  <c r="AH14" i="1"/>
  <c r="AI14" i="1"/>
  <c r="AJ14" i="1"/>
  <c r="AK14" i="1"/>
  <c r="AL14" i="1"/>
  <c r="AM14" i="1"/>
  <c r="AD15" i="1"/>
  <c r="AE15" i="1"/>
  <c r="AF15" i="1"/>
  <c r="AG15" i="1"/>
  <c r="AH15" i="1"/>
  <c r="AI15" i="1"/>
  <c r="AJ15" i="1"/>
  <c r="AK15" i="1"/>
  <c r="AL15" i="1"/>
  <c r="AM15" i="1"/>
  <c r="AD17" i="1"/>
  <c r="AE17" i="1"/>
  <c r="AF17" i="1"/>
  <c r="AG17" i="1"/>
  <c r="AH17" i="1"/>
  <c r="AI17" i="1"/>
  <c r="AJ17" i="1"/>
  <c r="AK17" i="1"/>
  <c r="AL17" i="1"/>
  <c r="AM17" i="1"/>
  <c r="AD18" i="1"/>
  <c r="AE18" i="1"/>
  <c r="AF18" i="1"/>
  <c r="AG18" i="1"/>
  <c r="AH18" i="1"/>
  <c r="AI18" i="1"/>
  <c r="AJ18" i="1"/>
  <c r="AK18" i="1"/>
  <c r="AL18" i="1"/>
  <c r="AM18" i="1"/>
  <c r="AD20" i="1"/>
  <c r="AE20" i="1"/>
  <c r="AF20" i="1"/>
  <c r="AG20" i="1"/>
  <c r="AH20" i="1"/>
  <c r="AI20" i="1"/>
  <c r="AJ20" i="1"/>
  <c r="AK20" i="1"/>
  <c r="AL20" i="1"/>
  <c r="AM20" i="1"/>
  <c r="AD21" i="1"/>
  <c r="AE21" i="1"/>
  <c r="AF21" i="1"/>
  <c r="AG21" i="1"/>
  <c r="AH21" i="1"/>
  <c r="AI21" i="1"/>
  <c r="AJ21" i="1"/>
  <c r="AK21" i="1"/>
  <c r="AL21" i="1"/>
  <c r="AM21" i="1"/>
  <c r="AM11" i="1"/>
  <c r="AL11" i="1"/>
  <c r="AK11" i="1"/>
  <c r="AJ11" i="1"/>
  <c r="AI11" i="1"/>
  <c r="AH11" i="1"/>
  <c r="AG11" i="1"/>
  <c r="AF11" i="1"/>
  <c r="AE11" i="1"/>
  <c r="AD11" i="1"/>
  <c r="C3" i="1"/>
  <c r="E3" i="1" s="1"/>
  <c r="C4" i="1"/>
  <c r="D4" i="1" s="1"/>
  <c r="D18" i="1" s="1"/>
  <c r="C5" i="1"/>
  <c r="D5" i="1" s="1"/>
  <c r="D21" i="1" s="1"/>
  <c r="C2" i="1"/>
  <c r="F2" i="1" s="1"/>
  <c r="F11" i="1" s="1"/>
  <c r="D16" i="1" l="1"/>
  <c r="E22" i="1"/>
  <c r="E13" i="1"/>
  <c r="E19" i="1"/>
  <c r="E16" i="1"/>
  <c r="F5" i="1"/>
  <c r="F20" i="1" s="1"/>
  <c r="D3" i="1"/>
  <c r="E5" i="1"/>
  <c r="G5" i="1"/>
  <c r="G20" i="1" s="1"/>
  <c r="D17" i="1"/>
  <c r="G4" i="1"/>
  <c r="G17" i="1" s="1"/>
  <c r="D20" i="1"/>
  <c r="G3" i="1"/>
  <c r="G14" i="1" s="1"/>
  <c r="G2" i="1"/>
  <c r="G11" i="1" s="1"/>
  <c r="E11" i="1" s="1"/>
  <c r="D11" i="1"/>
  <c r="D14" i="1"/>
  <c r="E18" i="1"/>
  <c r="E15" i="1"/>
  <c r="E12" i="1"/>
  <c r="E21" i="1"/>
  <c r="F4" i="1"/>
  <c r="F17" i="1" s="1"/>
  <c r="E4" i="1"/>
  <c r="F3" i="1"/>
  <c r="F14" i="1" s="1"/>
  <c r="E14" i="1" s="1"/>
  <c r="E2" i="1"/>
  <c r="D2" i="1"/>
  <c r="D12" i="1" l="1"/>
  <c r="D13" i="1"/>
  <c r="D22" i="1"/>
  <c r="D15" i="1"/>
  <c r="D19" i="1"/>
  <c r="E20" i="1"/>
  <c r="E17" i="1"/>
</calcChain>
</file>

<file path=xl/sharedStrings.xml><?xml version="1.0" encoding="utf-8"?>
<sst xmlns="http://schemas.openxmlformats.org/spreadsheetml/2006/main" count="1500" uniqueCount="585">
  <si>
    <t>등급 가중치</t>
    <phoneticPr fontId="1" type="noConversion"/>
  </si>
  <si>
    <t>결과 가중치</t>
    <phoneticPr fontId="1" type="noConversion"/>
  </si>
  <si>
    <t>랜덤 비율</t>
    <phoneticPr fontId="1" type="noConversion"/>
  </si>
  <si>
    <t>Option_2</t>
  </si>
  <si>
    <t>Option_3</t>
  </si>
  <si>
    <t>Option_4</t>
  </si>
  <si>
    <t>Option_5</t>
  </si>
  <si>
    <t>Drop_2</t>
  </si>
  <si>
    <t>Drop_3</t>
  </si>
  <si>
    <t>Potion</t>
  </si>
  <si>
    <t>ADD_HP</t>
  </si>
  <si>
    <t/>
  </si>
  <si>
    <t>item_potion_heal_02</t>
  </si>
  <si>
    <t>icon_item_0002</t>
  </si>
  <si>
    <t>item_potion_heal_03</t>
  </si>
  <si>
    <t>icon_item_0003</t>
  </si>
  <si>
    <t>item_potion_heal_04</t>
  </si>
  <si>
    <t>icon_item_0004</t>
  </si>
  <si>
    <t>item_potion_heal_05</t>
  </si>
  <si>
    <t>icon_item_0005</t>
  </si>
  <si>
    <t>낡은 옷</t>
  </si>
  <si>
    <t>Equip</t>
  </si>
  <si>
    <t>None</t>
  </si>
  <si>
    <t>가죽 갑옷</t>
  </si>
  <si>
    <t>item_equip_n_ar_02</t>
  </si>
  <si>
    <t>강화 가죽 갑옷</t>
  </si>
  <si>
    <t>item_equip_n_ar_03</t>
  </si>
  <si>
    <t>icon_item_1002</t>
  </si>
  <si>
    <t>레어 가죽 갑옷</t>
  </si>
  <si>
    <t>item_equip_n_ar_04</t>
  </si>
  <si>
    <t>icon_item_1003</t>
  </si>
  <si>
    <t>천 옷</t>
  </si>
  <si>
    <t>강화 천 옷</t>
  </si>
  <si>
    <t>item_equip_n_ar_06</t>
  </si>
  <si>
    <t>icon_item_1202</t>
  </si>
  <si>
    <t>레어 천 옷</t>
  </si>
  <si>
    <t>item_equip_n_ar_07</t>
  </si>
  <si>
    <t>icon_item_1203</t>
  </si>
  <si>
    <t>구리 갑옷</t>
  </si>
  <si>
    <t>item_equip_n_ar_08</t>
  </si>
  <si>
    <t>강화 구리 갑옷</t>
  </si>
  <si>
    <t>item_equip_n_ar_09</t>
  </si>
  <si>
    <t>icon_item_1004</t>
  </si>
  <si>
    <t>레어 구리 갑옷</t>
  </si>
  <si>
    <t>item_equip_n_ar_10</t>
  </si>
  <si>
    <t>가죽 옷</t>
  </si>
  <si>
    <t>item_equip_n_ar_11</t>
  </si>
  <si>
    <t>강화 가죽 옷</t>
  </si>
  <si>
    <t>item_equip_n_ar_12</t>
  </si>
  <si>
    <t>icon_item_1205</t>
  </si>
  <si>
    <t>레어 가죽 옷</t>
  </si>
  <si>
    <t>item_equip_n_ar_13</t>
  </si>
  <si>
    <t>icon_item_1206</t>
  </si>
  <si>
    <t>황동 갑옷</t>
  </si>
  <si>
    <t>item_equip_n_ar_14</t>
  </si>
  <si>
    <t>강화 황동 갑옷</t>
  </si>
  <si>
    <t>item_equip_n_ar_15</t>
  </si>
  <si>
    <t>icon_item_1006</t>
  </si>
  <si>
    <t>레어 황동 갑옷</t>
  </si>
  <si>
    <t>item_equip_n_ar_16</t>
  </si>
  <si>
    <t>무복</t>
  </si>
  <si>
    <t>item_equip_n_ar_17</t>
  </si>
  <si>
    <t>장식된 무복</t>
  </si>
  <si>
    <t>item_equip_n_ar_18</t>
  </si>
  <si>
    <t>icon_item_1208</t>
  </si>
  <si>
    <t>레어 무복</t>
  </si>
  <si>
    <t>item_equip_n_ar_19</t>
  </si>
  <si>
    <t>icon_item_1209</t>
  </si>
  <si>
    <t>철 갑옷</t>
  </si>
  <si>
    <t>item_equip_n_ar_20</t>
  </si>
  <si>
    <t>강화 철 갑옷</t>
  </si>
  <si>
    <t>item_equip_n_ar_21</t>
  </si>
  <si>
    <t>레어 철 갑옷</t>
  </si>
  <si>
    <t>item_equip_n_ar_22</t>
  </si>
  <si>
    <t>법사 옷</t>
  </si>
  <si>
    <t>item_equip_n_ar_23</t>
  </si>
  <si>
    <t>장식된 법사 옷</t>
  </si>
  <si>
    <t>item_equip_n_ar_24</t>
  </si>
  <si>
    <t>레어 법사 옷</t>
  </si>
  <si>
    <t>item_equip_n_ar_25</t>
  </si>
  <si>
    <t>구리 반지</t>
  </si>
  <si>
    <t>item_equip_n_ac_01</t>
  </si>
  <si>
    <t>은 반지</t>
  </si>
  <si>
    <t>item_equip_n_ac_02</t>
  </si>
  <si>
    <t>icon_item_2001</t>
  </si>
  <si>
    <t>금 반지</t>
  </si>
  <si>
    <t>item_equip_n_ac_03</t>
  </si>
  <si>
    <t>icon_item_2002</t>
  </si>
  <si>
    <t>마법사의 반지</t>
  </si>
  <si>
    <t>item_equip_n_ac_04</t>
  </si>
  <si>
    <t>icon_item_2003</t>
  </si>
  <si>
    <t>백금 반지</t>
  </si>
  <si>
    <t>item_equip_n_ac_05</t>
  </si>
  <si>
    <t>순금 반지</t>
  </si>
  <si>
    <t>item_equip_n_ac_06</t>
  </si>
  <si>
    <t>붉은 마법 반지</t>
  </si>
  <si>
    <t>item_equip_n_ac_07</t>
  </si>
  <si>
    <t>사파이어 반지</t>
  </si>
  <si>
    <t>item_equip_n_ac_08</t>
  </si>
  <si>
    <t>루비 반지</t>
  </si>
  <si>
    <t>item_equip_n_ac_09</t>
  </si>
  <si>
    <t>푸른 마법 반지</t>
  </si>
  <si>
    <t>item_equip_n_ac_10</t>
  </si>
  <si>
    <t>에메랄드 반지</t>
  </si>
  <si>
    <t>item_equip_n_ac_11</t>
  </si>
  <si>
    <t>혈석 반지</t>
  </si>
  <si>
    <t>item_equip_n_ac_12</t>
  </si>
  <si>
    <t>달의 반지</t>
  </si>
  <si>
    <t>item_equip_n_ac_13</t>
  </si>
  <si>
    <t>낡은 신발</t>
  </si>
  <si>
    <t>item_equip_n_bo_01</t>
  </si>
  <si>
    <t>나무 신발</t>
  </si>
  <si>
    <t>item_equip_n_bo_02</t>
  </si>
  <si>
    <t>icon_item_3001</t>
  </si>
  <si>
    <t>나무 장화</t>
  </si>
  <si>
    <t>item_equip_n_bo_03</t>
  </si>
  <si>
    <t>icon_item_3002</t>
  </si>
  <si>
    <t>강화 나무 장화</t>
  </si>
  <si>
    <t>item_equip_n_bo_04</t>
  </si>
  <si>
    <t>icon_item_3003</t>
  </si>
  <si>
    <t>가죽 신발</t>
  </si>
  <si>
    <t>item_equip_n_bo_05</t>
  </si>
  <si>
    <t>가죽 장화</t>
  </si>
  <si>
    <t>item_equip_n_bo_06</t>
  </si>
  <si>
    <t>강화 가죽 장화</t>
  </si>
  <si>
    <t>item_equip_n_bo_07</t>
  </si>
  <si>
    <t>황동 신발</t>
  </si>
  <si>
    <t>item_equip_n_bo_08</t>
  </si>
  <si>
    <t>황동 장화</t>
  </si>
  <si>
    <t>item_equip_n_bo_09</t>
  </si>
  <si>
    <t>강화 황동 장화</t>
  </si>
  <si>
    <t>item_equip_n_bo_10</t>
  </si>
  <si>
    <t>철 신발</t>
  </si>
  <si>
    <t>item_equip_n_bo_11</t>
  </si>
  <si>
    <t>철 장화</t>
  </si>
  <si>
    <t>item_equip_n_bo_12</t>
  </si>
  <si>
    <t>강화 철 장화</t>
  </si>
  <si>
    <t>item_equip_n_bo_13</t>
  </si>
  <si>
    <t>나무 막대기</t>
  </si>
  <si>
    <t>item_equip_n_we_01</t>
  </si>
  <si>
    <t>넓은 검</t>
  </si>
  <si>
    <t>item_equip_n_we_02</t>
  </si>
  <si>
    <t>icon_item_4001</t>
  </si>
  <si>
    <t>장검</t>
  </si>
  <si>
    <t>item_equip_n_we_03</t>
  </si>
  <si>
    <t>icon_item_4002</t>
  </si>
  <si>
    <t>담로</t>
  </si>
  <si>
    <t>item_equip_n_we_04</t>
  </si>
  <si>
    <t>icon_item_4003</t>
  </si>
  <si>
    <t>나무 지팡이</t>
  </si>
  <si>
    <t>item_equip_n_we_05</t>
  </si>
  <si>
    <t>주목 지팡이</t>
  </si>
  <si>
    <t>item_equip_n_we_06</t>
  </si>
  <si>
    <t>icon_item_4202</t>
  </si>
  <si>
    <t>악몽의 지팡이</t>
  </si>
  <si>
    <t>item_equip_n_we_07</t>
  </si>
  <si>
    <t>icon_item_4203</t>
  </si>
  <si>
    <t>단도</t>
  </si>
  <si>
    <t>item_equip_n_we_08</t>
  </si>
  <si>
    <t>비수</t>
  </si>
  <si>
    <t>item_equip_n_we_09</t>
  </si>
  <si>
    <t>icon_item_4402</t>
  </si>
  <si>
    <t>크리스</t>
  </si>
  <si>
    <t>item_equip_n_we_10</t>
  </si>
  <si>
    <t>icon_item_4403</t>
  </si>
  <si>
    <t>전쟁 검</t>
  </si>
  <si>
    <t>item_equip_n_we_11</t>
  </si>
  <si>
    <t>용병 검</t>
  </si>
  <si>
    <t>item_equip_n_we_12</t>
  </si>
  <si>
    <t>그람</t>
  </si>
  <si>
    <t>item_equip_n_we_13</t>
  </si>
  <si>
    <t>뼈 지팡이</t>
  </si>
  <si>
    <t>item_equip_n_we_14</t>
  </si>
  <si>
    <t>전투 지팡이</t>
  </si>
  <si>
    <t>item_equip_n_we_15</t>
  </si>
  <si>
    <t>지옥의 지팡이</t>
  </si>
  <si>
    <t>item_equip_n_we_16</t>
  </si>
  <si>
    <t>뿔 단도</t>
  </si>
  <si>
    <t>item_equip_n_we_17</t>
  </si>
  <si>
    <t>톱날 단도</t>
  </si>
  <si>
    <t>item_equip_n_we_18</t>
  </si>
  <si>
    <t>아수라</t>
  </si>
  <si>
    <t>item_equip_n_we_19</t>
  </si>
  <si>
    <t>검투사 검</t>
  </si>
  <si>
    <t>item_equip_n_we_20</t>
  </si>
  <si>
    <t>기사 검</t>
  </si>
  <si>
    <t>item_equip_n_we_21</t>
  </si>
  <si>
    <t>듀랜달</t>
  </si>
  <si>
    <t>item_equip_n_we_22</t>
  </si>
  <si>
    <t>전쟁 지팡이</t>
  </si>
  <si>
    <t>item_equip_n_we_23</t>
  </si>
  <si>
    <t>흑요석 지팡이</t>
  </si>
  <si>
    <t>item_equip_n_we_24</t>
  </si>
  <si>
    <t>불지옥 지팡이</t>
  </si>
  <si>
    <t>item_equip_n_we_25</t>
  </si>
  <si>
    <t>강철 단도</t>
  </si>
  <si>
    <t>item_equip_n_we_26</t>
  </si>
  <si>
    <t>굴절 단도</t>
  </si>
  <si>
    <t>item_equip_n_we_27</t>
  </si>
  <si>
    <t>리딜</t>
  </si>
  <si>
    <t>item_equip_n_we_28</t>
  </si>
  <si>
    <t>해적 검</t>
  </si>
  <si>
    <t>item_equip_n_we_29</t>
  </si>
  <si>
    <t>제국 검</t>
  </si>
  <si>
    <t>item_equip_n_we_30</t>
  </si>
  <si>
    <t>막 아 루인</t>
  </si>
  <si>
    <t>item_equip_n_we_31</t>
  </si>
  <si>
    <t>주술 지팡이</t>
  </si>
  <si>
    <t>item_equip_n_we_32</t>
  </si>
  <si>
    <t>칠흑 지팡이</t>
  </si>
  <si>
    <t>item_equip_n_we_33</t>
  </si>
  <si>
    <t>대장로의 지팡이</t>
  </si>
  <si>
    <t>item_equip_n_we_34</t>
  </si>
  <si>
    <t>흑철 단검</t>
  </si>
  <si>
    <t>item_equip_n_we_35</t>
  </si>
  <si>
    <t>룬 단검</t>
  </si>
  <si>
    <t>item_equip_n_we_36</t>
  </si>
  <si>
    <t>소울 브링거</t>
  </si>
  <si>
    <t>item_equip_n_we_37</t>
  </si>
  <si>
    <t>Box</t>
  </si>
  <si>
    <t>Key</t>
  </si>
  <si>
    <t>item_key_02</t>
  </si>
  <si>
    <t>Quest</t>
  </si>
  <si>
    <t>Meterial</t>
  </si>
  <si>
    <t>ADD_ITEM_SLOT</t>
  </si>
  <si>
    <t>ADD_CHARACTER_SLOT</t>
  </si>
  <si>
    <t>icon_item_9001</t>
  </si>
  <si>
    <t>Id</t>
  </si>
  <si>
    <t>dev_name</t>
  </si>
  <si>
    <t>Name</t>
  </si>
  <si>
    <t>STR</t>
  </si>
  <si>
    <t>DESC</t>
  </si>
  <si>
    <t>Grade</t>
  </si>
  <si>
    <t>Type</t>
  </si>
  <si>
    <t>Slot_Idx</t>
  </si>
  <si>
    <t>SATK</t>
  </si>
  <si>
    <t>LATK</t>
  </si>
  <si>
    <t>DEF</t>
  </si>
  <si>
    <t>ASPD</t>
  </si>
  <si>
    <t>SPD</t>
  </si>
  <si>
    <t>HP</t>
  </si>
  <si>
    <t>Effect</t>
  </si>
  <si>
    <t>Effect_Value</t>
  </si>
  <si>
    <t>Option_1</t>
  </si>
  <si>
    <t>Is_Stack</t>
  </si>
  <si>
    <t>Price</t>
  </si>
  <si>
    <t>Coin_Price</t>
  </si>
  <si>
    <t>Key_Amount</t>
  </si>
  <si>
    <t>Icon</t>
  </si>
  <si>
    <t>Drop_1</t>
  </si>
  <si>
    <t>빨간 물약</t>
  </si>
  <si>
    <t>STR_ITEM_POTION_HEAL_01</t>
  </si>
  <si>
    <t>STR_ITEM_POTION_HEAL_01_DESC</t>
  </si>
  <si>
    <t>icon_item_0001</t>
  </si>
  <si>
    <t>주황 물약</t>
  </si>
  <si>
    <t>STR_ITEM_POTION_HEAL_02</t>
  </si>
  <si>
    <t>STR_ITEM_POTION_HEAL_02_DESC</t>
  </si>
  <si>
    <t>보라 물약</t>
  </si>
  <si>
    <t>STR_ITEM_POTION_HEAL_03</t>
  </si>
  <si>
    <t>STR_ITEM_POTION_HEAL_03_DESC</t>
  </si>
  <si>
    <t>노랑 물약</t>
  </si>
  <si>
    <t>STR_ITEM_POTION_HEAL_04</t>
  </si>
  <si>
    <t>STR_ITEM_POTION_HEAL_04_DESC</t>
  </si>
  <si>
    <t>하얀 물약</t>
  </si>
  <si>
    <t>STR_ITEM_POTION_HEAL_05</t>
  </si>
  <si>
    <t>STR_ITEM_POTION_HEAL_05_DESC</t>
  </si>
  <si>
    <t>item_equip_n_ar_01</t>
  </si>
  <si>
    <t>STR_ITEM_EQUIP_N_AR_01</t>
  </si>
  <si>
    <t>STR_ITEM_EQUIP_N_AR_01_DESC</t>
  </si>
  <si>
    <t>icon_item_1000</t>
  </si>
  <si>
    <t>STR_ITEM_EQUIP_N_AR_02</t>
  </si>
  <si>
    <t>STR_ITEM_EQUIP_N_AR_02_DESC</t>
  </si>
  <si>
    <t>icon_item_1001</t>
  </si>
  <si>
    <t>STR_ITEM_EQUIP_N_AR_03</t>
  </si>
  <si>
    <t>STR_ITEM_EQUIP_N_AR_03_DESC</t>
  </si>
  <si>
    <t>STR_ITEM_EQUIP_N_AR_04</t>
  </si>
  <si>
    <t>STR_ITEM_EQUIP_N_AR_04_DESC</t>
  </si>
  <si>
    <t>option_pow_01</t>
  </si>
  <si>
    <t>option_dex_01</t>
  </si>
  <si>
    <t>option_int_01</t>
  </si>
  <si>
    <t>option_con_01</t>
  </si>
  <si>
    <t>option_luc_01</t>
  </si>
  <si>
    <t>STR_ITEM_EQUIP_N_AR_05</t>
  </si>
  <si>
    <t>STR_ITEM_EQUIP_N_AR_05_DESC</t>
  </si>
  <si>
    <t>icon_item_1201</t>
  </si>
  <si>
    <t>STR_ITEM_EQUIP_N_AR_06</t>
  </si>
  <si>
    <t>STR_ITEM_EQUIP_N_AR_06_DESC</t>
  </si>
  <si>
    <t>STR_ITEM_EQUIP_N_AR_07</t>
  </si>
  <si>
    <t>STR_ITEM_EQUIP_N_AR_07_DESC</t>
  </si>
  <si>
    <t>STR_ITEM_EQUIP_N_AR_08</t>
  </si>
  <si>
    <t>STR_ITEM_EQUIP_N_AR_08_DESC</t>
  </si>
  <si>
    <t>STR_ITEM_EQUIP_N_AR_09</t>
  </si>
  <si>
    <t>STR_ITEM_EQUIP_N_AR_09_DESC</t>
  </si>
  <si>
    <t>STR_ITEM_EQUIP_N_AR_10</t>
  </si>
  <si>
    <t>STR_ITEM_EQUIP_N_AR_10_DESC</t>
  </si>
  <si>
    <t>STR_ITEM_EQUIP_N_AR_11</t>
  </si>
  <si>
    <t>STR_ITEM_EQUIP_N_AR_11_DESC</t>
  </si>
  <si>
    <t>icon_item_1204</t>
  </si>
  <si>
    <t>STR_ITEM_EQUIP_N_AR_12</t>
  </si>
  <si>
    <t>STR_ITEM_EQUIP_N_AR_12_DESC</t>
  </si>
  <si>
    <t>STR_ITEM_EQUIP_N_AR_13</t>
  </si>
  <si>
    <t>STR_ITEM_EQUIP_N_AR_13_DESC</t>
  </si>
  <si>
    <t>STR_ITEM_EQUIP_N_AR_14</t>
  </si>
  <si>
    <t>STR_ITEM_EQUIP_N_AR_14_DESC</t>
  </si>
  <si>
    <t>icon_item_1005</t>
  </si>
  <si>
    <t>STR_ITEM_EQUIP_N_AR_15</t>
  </si>
  <si>
    <t>STR_ITEM_EQUIP_N_AR_15_DESC</t>
  </si>
  <si>
    <t>STR_ITEM_EQUIP_N_AR_16</t>
  </si>
  <si>
    <t>STR_ITEM_EQUIP_N_AR_16_DESC</t>
  </si>
  <si>
    <t>STR_ITEM_EQUIP_N_AR_17</t>
  </si>
  <si>
    <t>STR_ITEM_EQUIP_N_AR_17_DESC</t>
  </si>
  <si>
    <t>icon_item_1207</t>
  </si>
  <si>
    <t>STR_ITEM_EQUIP_N_AR_18</t>
  </si>
  <si>
    <t>STR_ITEM_EQUIP_N_AR_18_DESC</t>
  </si>
  <si>
    <t>STR_ITEM_EQUIP_N_AR_19</t>
  </si>
  <si>
    <t>STR_ITEM_EQUIP_N_AR_19_DESC</t>
  </si>
  <si>
    <t>STR_ITEM_EQUIP_N_AR_20</t>
  </si>
  <si>
    <t>STR_ITEM_EQUIP_N_AR_20_DESC</t>
  </si>
  <si>
    <t>STR_ITEM_EQUIP_N_AR_21</t>
  </si>
  <si>
    <t>STR_ITEM_EQUIP_N_AR_21_DESC</t>
  </si>
  <si>
    <t>STR_ITEM_EQUIP_N_AR_22</t>
  </si>
  <si>
    <t>STR_ITEM_EQUIP_N_AR_22_DESC</t>
  </si>
  <si>
    <t>STR_ITEM_EQUIP_N_AR_23</t>
  </si>
  <si>
    <t>STR_ITEM_EQUIP_N_AR_23_DESC</t>
  </si>
  <si>
    <t>STR_ITEM_EQUIP_N_AR_24</t>
  </si>
  <si>
    <t>STR_ITEM_EQUIP_N_AR_24_DESC</t>
  </si>
  <si>
    <t>STR_ITEM_EQUIP_N_AR_25</t>
  </si>
  <si>
    <t>STR_ITEM_EQUIP_N_AR_25_DESC</t>
  </si>
  <si>
    <t>STR_ITEM_EQUIP_N_AC_01</t>
  </si>
  <si>
    <t>STR_ITEM_EQUIP_N_AC_01_DESC</t>
  </si>
  <si>
    <t>icon_item_2000</t>
  </si>
  <si>
    <t>STR_ITEM_EQUIP_N_AC_02</t>
  </si>
  <si>
    <t>STR_ITEM_EQUIP_N_AC_02_DESC</t>
  </si>
  <si>
    <t>STR_ITEM_EQUIP_N_AC_03</t>
  </si>
  <si>
    <t>STR_ITEM_EQUIP_N_AC_03_DESC</t>
  </si>
  <si>
    <t>STR_ITEM_EQUIP_N_AC_04</t>
  </si>
  <si>
    <t>STR_ITEM_EQUIP_N_AC_04_DESC</t>
  </si>
  <si>
    <t>STR_ITEM_EQUIP_N_AC_05</t>
  </si>
  <si>
    <t>STR_ITEM_EQUIP_N_AC_05_DESC</t>
  </si>
  <si>
    <t>STR_ITEM_EQUIP_N_AC_06</t>
  </si>
  <si>
    <t>STR_ITEM_EQUIP_N_AC_06_DESC</t>
  </si>
  <si>
    <t>STR_ITEM_EQUIP_N_AC_07</t>
  </si>
  <si>
    <t>STR_ITEM_EQUIP_N_AC_07_DESC</t>
  </si>
  <si>
    <t>STR_ITEM_EQUIP_N_AC_08</t>
  </si>
  <si>
    <t>STR_ITEM_EQUIP_N_AC_08_DESC</t>
  </si>
  <si>
    <t>STR_ITEM_EQUIP_N_AC_09</t>
  </si>
  <si>
    <t>STR_ITEM_EQUIP_N_AC_09_DESC</t>
  </si>
  <si>
    <t>STR_ITEM_EQUIP_N_AC_10</t>
  </si>
  <si>
    <t>STR_ITEM_EQUIP_N_AC_10_DESC</t>
  </si>
  <si>
    <t>STR_ITEM_EQUIP_N_AC_11</t>
  </si>
  <si>
    <t>STR_ITEM_EQUIP_N_AC_11_DESC</t>
  </si>
  <si>
    <t>STR_ITEM_EQUIP_N_AC_12</t>
  </si>
  <si>
    <t>STR_ITEM_EQUIP_N_AC_12_DESC</t>
  </si>
  <si>
    <t>STR_ITEM_EQUIP_N_AC_13</t>
  </si>
  <si>
    <t>STR_ITEM_EQUIP_N_AC_13_DESC</t>
  </si>
  <si>
    <t>STR_ITEM_EQUIP_N_BO_01</t>
  </si>
  <si>
    <t>STR_ITEM_EQUIP_N_BO_01_DESC</t>
  </si>
  <si>
    <t>icon_item_3000</t>
  </si>
  <si>
    <t>STR_ITEM_EQUIP_N_BO_02</t>
  </si>
  <si>
    <t>STR_ITEM_EQUIP_N_BO_02_DESC</t>
  </si>
  <si>
    <t>STR_ITEM_EQUIP_N_BO_03</t>
  </si>
  <si>
    <t>STR_ITEM_EQUIP_N_BO_03_DESC</t>
  </si>
  <si>
    <t>STR_ITEM_EQUIP_N_BO_04</t>
  </si>
  <si>
    <t>STR_ITEM_EQUIP_N_BO_04_DESC</t>
  </si>
  <si>
    <t>STR_ITEM_EQUIP_N_BO_05</t>
  </si>
  <si>
    <t>STR_ITEM_EQUIP_N_BO_05_DESC</t>
  </si>
  <si>
    <t>STR_ITEM_EQUIP_N_BO_06</t>
  </si>
  <si>
    <t>STR_ITEM_EQUIP_N_BO_06_DESC</t>
  </si>
  <si>
    <t>STR_ITEM_EQUIP_N_BO_07</t>
  </si>
  <si>
    <t>STR_ITEM_EQUIP_N_BO_07_DESC</t>
  </si>
  <si>
    <t>STR_ITEM_EQUIP_N_BO_08</t>
  </si>
  <si>
    <t>STR_ITEM_EQUIP_N_BO_08_DESC</t>
  </si>
  <si>
    <t>STR_ITEM_EQUIP_N_BO_09</t>
  </si>
  <si>
    <t>STR_ITEM_EQUIP_N_BO_09_DESC</t>
  </si>
  <si>
    <t>STR_ITEM_EQUIP_N_BO_10</t>
  </si>
  <si>
    <t>STR_ITEM_EQUIP_N_BO_10_DESC</t>
  </si>
  <si>
    <t>STR_ITEM_EQUIP_N_BO_11</t>
  </si>
  <si>
    <t>STR_ITEM_EQUIP_N_BO_11_DESC</t>
  </si>
  <si>
    <t>STR_ITEM_EQUIP_N_BO_12</t>
  </si>
  <si>
    <t>STR_ITEM_EQUIP_N_BO_12_DESC</t>
  </si>
  <si>
    <t>STR_ITEM_EQUIP_N_BO_13</t>
  </si>
  <si>
    <t>STR_ITEM_EQUIP_N_BO_13_DESC</t>
  </si>
  <si>
    <t>STR_ITEM_EQUIP_N_WE_01</t>
  </si>
  <si>
    <t>STR_ITEM_EQUIP_N_WE_01_DESC</t>
  </si>
  <si>
    <t>icon_item_4000</t>
  </si>
  <si>
    <t>STR_ITEM_EQUIP_N_WE_02</t>
  </si>
  <si>
    <t>STR_ITEM_EQUIP_N_WE_02_DESC</t>
  </si>
  <si>
    <t>STR_ITEM_EQUIP_N_WE_03</t>
  </si>
  <si>
    <t>STR_ITEM_EQUIP_N_WE_03_DESC</t>
  </si>
  <si>
    <t>STR_ITEM_EQUIP_N_WE_04</t>
  </si>
  <si>
    <t>STR_ITEM_EQUIP_N_WE_04_DESC</t>
  </si>
  <si>
    <t>STR_ITEM_EQUIP_N_WE_05</t>
  </si>
  <si>
    <t>STR_ITEM_EQUIP_N_WE_05_DESC</t>
  </si>
  <si>
    <t>icon_item_4201</t>
  </si>
  <si>
    <t>STR_ITEM_EQUIP_N_WE_06</t>
  </si>
  <si>
    <t>STR_ITEM_EQUIP_N_WE_06_DESC</t>
  </si>
  <si>
    <t>STR_ITEM_EQUIP_N_WE_07</t>
  </si>
  <si>
    <t>STR_ITEM_EQUIP_N_WE_07_DESC</t>
  </si>
  <si>
    <t>STR_ITEM_EQUIP_N_WE_08</t>
  </si>
  <si>
    <t>STR_ITEM_EQUIP_N_WE_08_DESC</t>
  </si>
  <si>
    <t>icon_item_4401</t>
  </si>
  <si>
    <t>STR_ITEM_EQUIP_N_WE_09</t>
  </si>
  <si>
    <t>STR_ITEM_EQUIP_N_WE_09_DESC</t>
  </si>
  <si>
    <t>STR_ITEM_EQUIP_N_WE_10</t>
  </si>
  <si>
    <t>STR_ITEM_EQUIP_N_WE_10_DESC</t>
  </si>
  <si>
    <t>STR_ITEM_EQUIP_N_WE_11</t>
  </si>
  <si>
    <t>STR_ITEM_EQUIP_N_WE_11_DESC</t>
  </si>
  <si>
    <t>STR_ITEM_EQUIP_N_WE_12</t>
  </si>
  <si>
    <t>STR_ITEM_EQUIP_N_WE_12_DESC</t>
  </si>
  <si>
    <t>STR_ITEM_EQUIP_N_WE_13</t>
  </si>
  <si>
    <t>STR_ITEM_EQUIP_N_WE_13_DESC</t>
  </si>
  <si>
    <t>STR_ITEM_EQUIP_N_WE_14</t>
  </si>
  <si>
    <t>STR_ITEM_EQUIP_N_WE_14_DESC</t>
  </si>
  <si>
    <t>STR_ITEM_EQUIP_N_WE_15</t>
  </si>
  <si>
    <t>STR_ITEM_EQUIP_N_WE_15_DESC</t>
  </si>
  <si>
    <t>STR_ITEM_EQUIP_N_WE_16</t>
  </si>
  <si>
    <t>STR_ITEM_EQUIP_N_WE_16_DESC</t>
  </si>
  <si>
    <t>STR_ITEM_EQUIP_N_WE_17</t>
  </si>
  <si>
    <t>STR_ITEM_EQUIP_N_WE_17_DESC</t>
  </si>
  <si>
    <t>STR_ITEM_EQUIP_N_WE_18</t>
  </si>
  <si>
    <t>STR_ITEM_EQUIP_N_WE_18_DESC</t>
  </si>
  <si>
    <t>STR_ITEM_EQUIP_N_WE_19</t>
  </si>
  <si>
    <t>STR_ITEM_EQUIP_N_WE_19_DESC</t>
  </si>
  <si>
    <t>STR_ITEM_EQUIP_N_WE_20</t>
  </si>
  <si>
    <t>STR_ITEM_EQUIP_N_WE_20_DESC</t>
  </si>
  <si>
    <t>STR_ITEM_EQUIP_N_WE_21</t>
  </si>
  <si>
    <t>STR_ITEM_EQUIP_N_WE_21_DESC</t>
  </si>
  <si>
    <t>STR_ITEM_EQUIP_N_WE_22</t>
  </si>
  <si>
    <t>STR_ITEM_EQUIP_N_WE_22_DESC</t>
  </si>
  <si>
    <t>STR_ITEM_EQUIP_N_WE_23</t>
  </si>
  <si>
    <t>STR_ITEM_EQUIP_N_WE_23_DESC</t>
  </si>
  <si>
    <t>STR_ITEM_EQUIP_N_WE_24</t>
  </si>
  <si>
    <t>STR_ITEM_EQUIP_N_WE_24_DESC</t>
  </si>
  <si>
    <t>STR_ITEM_EQUIP_N_WE_25</t>
  </si>
  <si>
    <t>STR_ITEM_EQUIP_N_WE_25_DESC</t>
  </si>
  <si>
    <t>STR_ITEM_EQUIP_N_WE_26</t>
  </si>
  <si>
    <t>STR_ITEM_EQUIP_N_WE_26_DESC</t>
  </si>
  <si>
    <t>STR_ITEM_EQUIP_N_WE_27</t>
  </si>
  <si>
    <t>STR_ITEM_EQUIP_N_WE_27_DESC</t>
  </si>
  <si>
    <t>STR_ITEM_EQUIP_N_WE_28</t>
  </si>
  <si>
    <t>STR_ITEM_EQUIP_N_WE_28_DESC</t>
  </si>
  <si>
    <t>STR_ITEM_EQUIP_N_WE_29</t>
  </si>
  <si>
    <t>STR_ITEM_EQUIP_N_WE_29_DESC</t>
  </si>
  <si>
    <t>STR_ITEM_EQUIP_N_WE_30</t>
  </si>
  <si>
    <t>STR_ITEM_EQUIP_N_WE_30_DESC</t>
  </si>
  <si>
    <t>STR_ITEM_EQUIP_N_WE_31</t>
  </si>
  <si>
    <t>STR_ITEM_EQUIP_N_WE_31_DESC</t>
  </si>
  <si>
    <t>STR_ITEM_EQUIP_N_WE_32</t>
  </si>
  <si>
    <t>STR_ITEM_EQUIP_N_WE_32_DESC</t>
  </si>
  <si>
    <t>STR_ITEM_EQUIP_N_WE_33</t>
  </si>
  <si>
    <t>STR_ITEM_EQUIP_N_WE_33_DESC</t>
  </si>
  <si>
    <t>STR_ITEM_EQUIP_N_WE_34</t>
  </si>
  <si>
    <t>STR_ITEM_EQUIP_N_WE_34_DESC</t>
  </si>
  <si>
    <t>STR_ITEM_EQUIP_N_WE_35</t>
  </si>
  <si>
    <t>STR_ITEM_EQUIP_N_WE_35_DESC</t>
  </si>
  <si>
    <t>STR_ITEM_EQUIP_N_WE_36</t>
  </si>
  <si>
    <t>STR_ITEM_EQUIP_N_WE_36_DESC</t>
  </si>
  <si>
    <t>STR_ITEM_EQUIP_N_WE_37</t>
  </si>
  <si>
    <t>STR_ITEM_EQUIP_N_WE_37_DESC</t>
  </si>
  <si>
    <t>선물 상자</t>
  </si>
  <si>
    <t>item_box_01</t>
  </si>
  <si>
    <t>STR_ITEM_BOX_01</t>
  </si>
  <si>
    <t>STR_ITEM_BOX_01_DESC</t>
  </si>
  <si>
    <t>icon_item_5000</t>
  </si>
  <si>
    <t>drop_0004</t>
  </si>
  <si>
    <t>drop_0003</t>
  </si>
  <si>
    <t>drop_0001</t>
  </si>
  <si>
    <t>구리열쇠</t>
  </si>
  <si>
    <t>item_key_01</t>
  </si>
  <si>
    <t>STR_ITEM_KEY_01</t>
  </si>
  <si>
    <t>STR_ITEM_KEY_01_DESC</t>
  </si>
  <si>
    <t>icon_item_7000</t>
  </si>
  <si>
    <t>은열쇠</t>
  </si>
  <si>
    <t>STR_ITEM_KEY_02</t>
  </si>
  <si>
    <t>STR_ITEM_KEY_02_DESC</t>
  </si>
  <si>
    <t>icon_item_7002</t>
  </si>
  <si>
    <t>퀘스트 아이템 01</t>
  </si>
  <si>
    <t>item_quest_01</t>
  </si>
  <si>
    <t>STR_ITEM_QUEST_01</t>
  </si>
  <si>
    <t>STR_ITEM_QUEST_01_DESC</t>
  </si>
  <si>
    <t>재료 01</t>
  </si>
  <si>
    <t>item_meterial_01</t>
  </si>
  <si>
    <t>STR_ITEM_METERIAL_01</t>
  </si>
  <si>
    <t>STR_ITEM_METERIAL_01_DESC</t>
  </si>
  <si>
    <t>아이템 슬롯 확장권</t>
  </si>
  <si>
    <t>item_potion_itemslot_01</t>
  </si>
  <si>
    <t>STR_ITEM_POTION_ITEMSLOT_01</t>
  </si>
  <si>
    <t>STR_ITEM_POTION_ITEMSLOT_01_DESC</t>
  </si>
  <si>
    <t>icon_item_9000</t>
  </si>
  <si>
    <t>캐릭터 슬롯 확장권</t>
  </si>
  <si>
    <t>item_potion_slot_01</t>
  </si>
  <si>
    <t>STR_ITEM_POTION_SLOT_01</t>
  </si>
  <si>
    <t>STR_ITEM_POTION_SLOT_01_DESC</t>
  </si>
  <si>
    <t>등급</t>
    <phoneticPr fontId="1" type="noConversion"/>
  </si>
  <si>
    <t>초당 보상 기준</t>
    <phoneticPr fontId="1" type="noConversion"/>
  </si>
  <si>
    <t>표준 플레이 타임</t>
    <phoneticPr fontId="1" type="noConversion"/>
  </si>
  <si>
    <t>기준 보상액</t>
    <phoneticPr fontId="1" type="noConversion"/>
  </si>
  <si>
    <t>기본 보상액</t>
    <phoneticPr fontId="1" type="noConversion"/>
  </si>
  <si>
    <t>랜덤 보상액</t>
    <phoneticPr fontId="1" type="noConversion"/>
  </si>
  <si>
    <t>item_potion_heal_01</t>
    <phoneticPr fontId="1" type="noConversion"/>
  </si>
  <si>
    <t>결과</t>
    <phoneticPr fontId="1" type="noConversion"/>
  </si>
  <si>
    <t>실버 추가 보상</t>
    <phoneticPr fontId="1" type="noConversion"/>
  </si>
  <si>
    <t>골드 추가 보상</t>
    <phoneticPr fontId="1" type="noConversion"/>
  </si>
  <si>
    <t>등급</t>
    <phoneticPr fontId="1" type="noConversion"/>
  </si>
  <si>
    <t>기준 보상액</t>
    <phoneticPr fontId="1" type="noConversion"/>
  </si>
  <si>
    <t>실 보상액</t>
    <phoneticPr fontId="1" type="noConversion"/>
  </si>
  <si>
    <t>Item_2</t>
  </si>
  <si>
    <t>Prob_2</t>
  </si>
  <si>
    <t>Item_3</t>
  </si>
  <si>
    <t>Prob_3</t>
  </si>
  <si>
    <t>Item_4</t>
  </si>
  <si>
    <t>Prob_4</t>
  </si>
  <si>
    <t>Item_5</t>
  </si>
  <si>
    <t>Prob_5</t>
  </si>
  <si>
    <t>Item_6</t>
  </si>
  <si>
    <t>Prob_6</t>
  </si>
  <si>
    <t>Item_7</t>
  </si>
  <si>
    <t>Prob_7</t>
  </si>
  <si>
    <t>Item_8</t>
  </si>
  <si>
    <t>Prob_8</t>
  </si>
  <si>
    <t>Item_9</t>
  </si>
  <si>
    <t>Prob_9</t>
  </si>
  <si>
    <t>Item_10</t>
  </si>
  <si>
    <t>Prob_10</t>
  </si>
  <si>
    <t>Gold</t>
  </si>
  <si>
    <t>Add_Gold</t>
  </si>
  <si>
    <t>Coin</t>
  </si>
  <si>
    <t>Add_Coin</t>
  </si>
  <si>
    <t>Item_1</t>
  </si>
  <si>
    <t>Prob_1</t>
  </si>
  <si>
    <t>Price1</t>
    <phoneticPr fontId="1" type="noConversion"/>
  </si>
  <si>
    <t>Price2</t>
  </si>
  <si>
    <t>Price3</t>
  </si>
  <si>
    <t>Price4</t>
  </si>
  <si>
    <t>Price5</t>
  </si>
  <si>
    <t>Price6</t>
  </si>
  <si>
    <t>Price7</t>
  </si>
  <si>
    <t>Price8</t>
  </si>
  <si>
    <t>Price9</t>
  </si>
  <si>
    <t>Price10</t>
  </si>
  <si>
    <t>item_potion_heal_02</t>
    <phoneticPr fontId="1" type="noConversion"/>
  </si>
  <si>
    <t>item_potion_heal_03</t>
    <phoneticPr fontId="1" type="noConversion"/>
  </si>
  <si>
    <t>item_potion_heal_04</t>
    <phoneticPr fontId="1" type="noConversion"/>
  </si>
  <si>
    <t>item_equip_n_ar_02</t>
    <phoneticPr fontId="1" type="noConversion"/>
  </si>
  <si>
    <t>item_equip_n_ar_05</t>
    <phoneticPr fontId="1" type="noConversion"/>
  </si>
  <si>
    <t>item_equip_n_ar_05</t>
    <phoneticPr fontId="1" type="noConversion"/>
  </si>
  <si>
    <t>item_equip_n_ac_02</t>
    <phoneticPr fontId="1" type="noConversion"/>
  </si>
  <si>
    <t>item_equip_n_bo_02</t>
    <phoneticPr fontId="1" type="noConversion"/>
  </si>
  <si>
    <t>item_equip_n_we_02</t>
    <phoneticPr fontId="1" type="noConversion"/>
  </si>
  <si>
    <t>item_equip_n_we_05</t>
    <phoneticPr fontId="1" type="noConversion"/>
  </si>
  <si>
    <t>item_equip_n_we_08</t>
    <phoneticPr fontId="1" type="noConversion"/>
  </si>
  <si>
    <t>이름</t>
    <phoneticPr fontId="1" type="noConversion"/>
  </si>
  <si>
    <t>D등급 맵 보상</t>
    <phoneticPr fontId="1" type="noConversion"/>
  </si>
  <si>
    <t>C등급 맵 보상</t>
  </si>
  <si>
    <t>B등급 맵 보상</t>
  </si>
  <si>
    <t>A등급 맵 보상</t>
  </si>
  <si>
    <t>D등급 맵 실버 보상</t>
    <phoneticPr fontId="1" type="noConversion"/>
  </si>
  <si>
    <t>D등급 맵 골드 보상</t>
    <phoneticPr fontId="1" type="noConversion"/>
  </si>
  <si>
    <t>C등급 맵 실버 보상</t>
  </si>
  <si>
    <t>C등급 맵 골드 보상</t>
  </si>
  <si>
    <t>B등급 맵 실버 보상</t>
  </si>
  <si>
    <t>B등급 맵 골드 보상</t>
  </si>
  <si>
    <t>A등급 맵 실버 보상</t>
  </si>
  <si>
    <t>A등급 맵 골드 보상</t>
  </si>
  <si>
    <t>item_equip_n_ac_05</t>
    <phoneticPr fontId="1" type="noConversion"/>
  </si>
  <si>
    <t>item_equip_n_bo_05</t>
    <phoneticPr fontId="1" type="noConversion"/>
  </si>
  <si>
    <t>item_equip_n_ar_08</t>
    <phoneticPr fontId="1" type="noConversion"/>
  </si>
  <si>
    <t>item_equip_n_ar_11</t>
    <phoneticPr fontId="1" type="noConversion"/>
  </si>
  <si>
    <t>item_equip_n_we_11</t>
    <phoneticPr fontId="1" type="noConversion"/>
  </si>
  <si>
    <t>item_equip_n_we_14</t>
    <phoneticPr fontId="1" type="noConversion"/>
  </si>
  <si>
    <t>item_equip_n_we_17</t>
    <phoneticPr fontId="1" type="noConversion"/>
  </si>
  <si>
    <t>item_equip_n_ar_14</t>
    <phoneticPr fontId="1" type="noConversion"/>
  </si>
  <si>
    <t>item_equip_n_ar_17</t>
    <phoneticPr fontId="1" type="noConversion"/>
  </si>
  <si>
    <t>item_equip_n_ac_08</t>
    <phoneticPr fontId="1" type="noConversion"/>
  </si>
  <si>
    <t>item_equip_n_bo_08</t>
    <phoneticPr fontId="1" type="noConversion"/>
  </si>
  <si>
    <t>item_equip_n_we_20</t>
    <phoneticPr fontId="1" type="noConversion"/>
  </si>
  <si>
    <t>item_equip_n_we_23</t>
    <phoneticPr fontId="1" type="noConversion"/>
  </si>
  <si>
    <t>item_equip_n_we_26</t>
    <phoneticPr fontId="1" type="noConversion"/>
  </si>
  <si>
    <t>item_equip_n_ar_20</t>
    <phoneticPr fontId="1" type="noConversion"/>
  </si>
  <si>
    <t>item_equip_n_ar_23</t>
    <phoneticPr fontId="1" type="noConversion"/>
  </si>
  <si>
    <t>item_equip_n_ac_11</t>
    <phoneticPr fontId="1" type="noConversion"/>
  </si>
  <si>
    <t>item_equip_n_bo_11</t>
    <phoneticPr fontId="1" type="noConversion"/>
  </si>
  <si>
    <t>item_equip_n_we_29</t>
    <phoneticPr fontId="1" type="noConversion"/>
  </si>
  <si>
    <t>item_equip_n_we_32</t>
    <phoneticPr fontId="1" type="noConversion"/>
  </si>
  <si>
    <t>item_equip_n_we_35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</si>
</sst>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eaf/30_table/01_&#53580;&#49828;&#53944;&#48260;&#51204;/Table_Data_It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History"/>
      <sheetName val="Definition"/>
      <sheetName val="Data"/>
      <sheetName val="Type"/>
      <sheetName val="Sheet1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"/>
  <sheetViews>
    <sheetView tabSelected="1" topLeftCell="C1" workbookViewId="0">
      <selection activeCell="G26" sqref="G26"/>
    </sheetView>
  </sheetViews>
  <sheetFormatPr defaultRowHeight="16.5" x14ac:dyDescent="0.3"/>
  <cols>
    <col min="1" max="1" width="23.625" bestFit="1" customWidth="1"/>
    <col min="3" max="5" width="13.5" customWidth="1"/>
    <col min="6" max="7" width="11.625" bestFit="1" customWidth="1"/>
  </cols>
  <sheetData>
    <row r="1" spans="1:39" x14ac:dyDescent="0.3">
      <c r="B1" t="s">
        <v>493</v>
      </c>
      <c r="C1" t="s">
        <v>496</v>
      </c>
      <c r="D1" t="s">
        <v>501</v>
      </c>
      <c r="E1" t="s">
        <v>502</v>
      </c>
      <c r="F1" t="s">
        <v>497</v>
      </c>
      <c r="G1" t="s">
        <v>498</v>
      </c>
    </row>
    <row r="2" spans="1:39" x14ac:dyDescent="0.3">
      <c r="B2">
        <v>1</v>
      </c>
      <c r="C2">
        <f>설정!$B$1*설정!$B$2*(1+설정!$B$3*'맵 보상 기준'!$B2)</f>
        <v>720</v>
      </c>
      <c r="D2">
        <f>$C2*설정!$B$4</f>
        <v>360</v>
      </c>
      <c r="E2">
        <f>$C2*설정!$B$4*2</f>
        <v>720</v>
      </c>
      <c r="F2">
        <f>$C2*(1-설정!$B$5)</f>
        <v>576</v>
      </c>
      <c r="G2">
        <f>$C2*설정!$B$5</f>
        <v>144</v>
      </c>
    </row>
    <row r="3" spans="1:39" x14ac:dyDescent="0.3">
      <c r="B3">
        <v>2</v>
      </c>
      <c r="C3">
        <f>설정!$B$1*설정!$B$2*(1+설정!$B$3*'맵 보상 기준'!$B3)</f>
        <v>840</v>
      </c>
      <c r="D3">
        <f>$C3*설정!$B$4</f>
        <v>420</v>
      </c>
      <c r="E3">
        <f>$C3*설정!$B$4*2</f>
        <v>840</v>
      </c>
      <c r="F3">
        <f>$C3*(1-설정!$B$5)</f>
        <v>672</v>
      </c>
      <c r="G3">
        <f>$C3*설정!$B$5</f>
        <v>168</v>
      </c>
    </row>
    <row r="4" spans="1:39" x14ac:dyDescent="0.3">
      <c r="B4">
        <v>3</v>
      </c>
      <c r="C4">
        <f>설정!$B$1*설정!$B$2*(1+설정!$B$3*'맵 보상 기준'!$B4)</f>
        <v>960</v>
      </c>
      <c r="D4">
        <f>$C4*설정!$B$4</f>
        <v>480</v>
      </c>
      <c r="E4">
        <f>$C4*설정!$B$4*2</f>
        <v>960</v>
      </c>
      <c r="F4">
        <f>$C4*(1-설정!$B$5)</f>
        <v>768</v>
      </c>
      <c r="G4">
        <f>$C4*설정!$B$5</f>
        <v>192</v>
      </c>
    </row>
    <row r="5" spans="1:39" x14ac:dyDescent="0.3">
      <c r="B5">
        <v>4</v>
      </c>
      <c r="C5">
        <f>설정!$B$1*설정!$B$2*(1+설정!$B$3*'맵 보상 기준'!$B5)</f>
        <v>1080</v>
      </c>
      <c r="D5">
        <f>$C5*설정!$B$4</f>
        <v>540</v>
      </c>
      <c r="E5">
        <f>$C5*설정!$B$4*2</f>
        <v>1080</v>
      </c>
      <c r="F5">
        <f>$C5*(1-설정!$B$5)</f>
        <v>864</v>
      </c>
      <c r="G5">
        <f>$C5*설정!$B$5</f>
        <v>216</v>
      </c>
    </row>
    <row r="10" spans="1:39" x14ac:dyDescent="0.3">
      <c r="A10" t="s">
        <v>551</v>
      </c>
      <c r="B10" t="s">
        <v>503</v>
      </c>
      <c r="C10" t="s">
        <v>500</v>
      </c>
      <c r="D10" t="s">
        <v>504</v>
      </c>
      <c r="E10" t="s">
        <v>505</v>
      </c>
      <c r="F10" t="s">
        <v>524</v>
      </c>
      <c r="G10" t="s">
        <v>525</v>
      </c>
      <c r="H10" t="s">
        <v>526</v>
      </c>
      <c r="I10" t="s">
        <v>527</v>
      </c>
      <c r="J10" t="s">
        <v>528</v>
      </c>
      <c r="K10" t="s">
        <v>529</v>
      </c>
      <c r="L10" t="s">
        <v>506</v>
      </c>
      <c r="M10" t="s">
        <v>507</v>
      </c>
      <c r="N10" t="s">
        <v>508</v>
      </c>
      <c r="O10" t="s">
        <v>509</v>
      </c>
      <c r="P10" t="s">
        <v>510</v>
      </c>
      <c r="Q10" t="s">
        <v>511</v>
      </c>
      <c r="R10" t="s">
        <v>512</v>
      </c>
      <c r="S10" t="s">
        <v>513</v>
      </c>
      <c r="T10" t="s">
        <v>514</v>
      </c>
      <c r="U10" t="s">
        <v>515</v>
      </c>
      <c r="V10" t="s">
        <v>516</v>
      </c>
      <c r="W10" t="s">
        <v>517</v>
      </c>
      <c r="X10" t="s">
        <v>518</v>
      </c>
      <c r="Y10" t="s">
        <v>519</v>
      </c>
      <c r="Z10" t="s">
        <v>520</v>
      </c>
      <c r="AA10" t="s">
        <v>521</v>
      </c>
      <c r="AB10" t="s">
        <v>522</v>
      </c>
      <c r="AC10" t="s">
        <v>523</v>
      </c>
      <c r="AD10" t="s">
        <v>530</v>
      </c>
      <c r="AE10" t="s">
        <v>531</v>
      </c>
      <c r="AF10" t="s">
        <v>532</v>
      </c>
      <c r="AG10" t="s">
        <v>533</v>
      </c>
      <c r="AH10" t="s">
        <v>534</v>
      </c>
      <c r="AI10" t="s">
        <v>535</v>
      </c>
      <c r="AJ10" t="s">
        <v>536</v>
      </c>
      <c r="AK10" t="s">
        <v>537</v>
      </c>
      <c r="AL10" t="s">
        <v>538</v>
      </c>
      <c r="AM10" t="s">
        <v>539</v>
      </c>
    </row>
    <row r="11" spans="1:39" x14ac:dyDescent="0.3">
      <c r="A11" t="s">
        <v>552</v>
      </c>
      <c r="B11">
        <v>1</v>
      </c>
      <c r="C11">
        <v>0</v>
      </c>
      <c r="D11">
        <f>VLOOKUP(B11,$B$2:$G$5,2+C11,FALSE)</f>
        <v>720</v>
      </c>
      <c r="E11">
        <f>F11+G11*0.5+SUM(AD11:AM11)</f>
        <v>720</v>
      </c>
      <c r="F11">
        <f>IF(C11&gt;0,0,VLOOKUP(B11,$B$2:$G$5,5,FALSE))</f>
        <v>576</v>
      </c>
      <c r="G11">
        <f>IF(C11&gt;0,0,VLOOKUP(B11,$B$2:$G$5,6,FALSE))*2</f>
        <v>288</v>
      </c>
      <c r="AD11">
        <f>IF(J11="",0,VLOOKUP(J11,Table_Data_Item!$C:$W,21,FALSE)*K11/10000)</f>
        <v>0</v>
      </c>
      <c r="AE11">
        <f>IF(L11="",0,VLOOKUP(L11,Table_Data_Item!$C:$W,21,FALSE)*M11/10000)</f>
        <v>0</v>
      </c>
      <c r="AF11">
        <f>IF(N11="",0,VLOOKUP(N11,Table_Data_Item!$C:$W,21,FALSE)*O11/10000)</f>
        <v>0</v>
      </c>
      <c r="AG11">
        <f>IF(P11="",0,VLOOKUP(P11,Table_Data_Item!$C:$W,21,FALSE)*Q11/10000)</f>
        <v>0</v>
      </c>
      <c r="AH11">
        <f>IF(R11="",0,VLOOKUP(R11,Table_Data_Item!$C:$W,21,FALSE)*S11/10000)</f>
        <v>0</v>
      </c>
      <c r="AI11">
        <f>IF(T11="",0,VLOOKUP(T11,Table_Data_Item!$C:$W,21,FALSE)*U11/10000)</f>
        <v>0</v>
      </c>
      <c r="AJ11">
        <f>IF(V11="",0,VLOOKUP(V11,Table_Data_Item!$C:$W,21,FALSE)*W11/10000)</f>
        <v>0</v>
      </c>
      <c r="AK11">
        <f>IF(X11="",0,VLOOKUP(X11,Table_Data_Item!$C:$W,21,FALSE)*Y11/10000)</f>
        <v>0</v>
      </c>
      <c r="AL11">
        <f>IF(Z11="",0,VLOOKUP(Z11,Table_Data_Item!$C:$W,21,FALSE)*AA11/10000)</f>
        <v>0</v>
      </c>
      <c r="AM11">
        <f>IF(AB11="",0,VLOOKUP(AB11,Table_Data_Item!$C:$W,21,FALSE)*AC11/10000)</f>
        <v>0</v>
      </c>
    </row>
    <row r="12" spans="1:39" x14ac:dyDescent="0.3">
      <c r="A12" t="s">
        <v>556</v>
      </c>
      <c r="B12">
        <v>1</v>
      </c>
      <c r="C12">
        <v>1</v>
      </c>
      <c r="D12">
        <f t="shared" ref="D12:D21" si="0">VLOOKUP(B12,$B$2:$G$5,2+C12,FALSE)</f>
        <v>360</v>
      </c>
      <c r="E12">
        <f t="shared" ref="E12:E21" si="1">F12+G12*0.5+SUM(AD12:AM12)</f>
        <v>320</v>
      </c>
      <c r="F12">
        <f t="shared" ref="F12:F21" si="2">IF(C12&gt;0,0,VLOOKUP(B12,$B$2:$G$5,5,FALSE))</f>
        <v>0</v>
      </c>
      <c r="G12">
        <f t="shared" ref="G12:G21" si="3">IF(C12&gt;0,0,VLOOKUP(B12,$B$2:$G$5,6,FALSE))*2</f>
        <v>0</v>
      </c>
      <c r="J12" t="s">
        <v>499</v>
      </c>
      <c r="K12">
        <v>6000</v>
      </c>
      <c r="L12" t="s">
        <v>24</v>
      </c>
      <c r="M12">
        <v>100</v>
      </c>
      <c r="N12" t="s">
        <v>545</v>
      </c>
      <c r="O12">
        <v>100</v>
      </c>
      <c r="P12" t="s">
        <v>546</v>
      </c>
      <c r="Q12">
        <v>100</v>
      </c>
      <c r="R12" t="s">
        <v>547</v>
      </c>
      <c r="S12">
        <v>100</v>
      </c>
      <c r="AD12">
        <f>IF(J12="",0,VLOOKUP(J12,Table_Data_Item!$C:$W,21,FALSE)*K12/10000)</f>
        <v>120</v>
      </c>
      <c r="AE12">
        <f>IF(L12="",0,VLOOKUP(L12,Table_Data_Item!$C:$W,21,FALSE)*M12/10000)</f>
        <v>50</v>
      </c>
      <c r="AF12">
        <f>IF(N12="",0,VLOOKUP(N12,Table_Data_Item!$C:$W,21,FALSE)*O12/10000)</f>
        <v>50</v>
      </c>
      <c r="AG12">
        <f>IF(P12="",0,VLOOKUP(P12,Table_Data_Item!$C:$W,21,FALSE)*Q12/10000)</f>
        <v>62.5</v>
      </c>
      <c r="AH12">
        <f>IF(R12="",0,VLOOKUP(R12,Table_Data_Item!$C:$W,21,FALSE)*S12/10000)</f>
        <v>37.5</v>
      </c>
      <c r="AI12">
        <f>IF(T12="",0,VLOOKUP(T12,Table_Data_Item!$C:$W,21,FALSE)*U12/10000)</f>
        <v>0</v>
      </c>
      <c r="AJ12">
        <f>IF(V12="",0,VLOOKUP(V12,Table_Data_Item!$C:$W,21,FALSE)*W12/10000)</f>
        <v>0</v>
      </c>
      <c r="AK12">
        <f>IF(X12="",0,VLOOKUP(X12,Table_Data_Item!$C:$W,21,FALSE)*Y12/10000)</f>
        <v>0</v>
      </c>
      <c r="AL12">
        <f>IF(Z12="",0,VLOOKUP(Z12,Table_Data_Item!$C:$W,21,FALSE)*AA12/10000)</f>
        <v>0</v>
      </c>
      <c r="AM12">
        <f>IF(AB12="",0,VLOOKUP(AB12,Table_Data_Item!$C:$W,21,FALSE)*AC12/10000)</f>
        <v>0</v>
      </c>
    </row>
    <row r="13" spans="1:39" x14ac:dyDescent="0.3">
      <c r="A13" t="s">
        <v>557</v>
      </c>
      <c r="B13">
        <v>1</v>
      </c>
      <c r="C13">
        <v>2</v>
      </c>
      <c r="D13">
        <f t="shared" ref="D13" si="4">VLOOKUP(B13,$B$2:$G$5,2+C13,FALSE)</f>
        <v>720</v>
      </c>
      <c r="E13">
        <f t="shared" ref="E13" si="5">F13+G13*0.5+SUM(AD13:AM13)</f>
        <v>675</v>
      </c>
      <c r="F13">
        <f t="shared" ref="F13" si="6">IF(C13&gt;0,0,VLOOKUP(B13,$B$2:$G$5,5,FALSE))</f>
        <v>0</v>
      </c>
      <c r="G13">
        <f t="shared" ref="G13" si="7">IF(C13&gt;0,0,VLOOKUP(B13,$B$2:$G$5,6,FALSE))*2</f>
        <v>0</v>
      </c>
      <c r="J13" t="s">
        <v>548</v>
      </c>
      <c r="K13">
        <v>300</v>
      </c>
      <c r="L13" t="s">
        <v>549</v>
      </c>
      <c r="M13">
        <v>300</v>
      </c>
      <c r="N13" t="s">
        <v>550</v>
      </c>
      <c r="O13">
        <v>300</v>
      </c>
      <c r="AD13">
        <f>IF(J13="",0,VLOOKUP(J13,Table_Data_Item!$C:$W,21,FALSE)*K13/10000)</f>
        <v>225</v>
      </c>
      <c r="AE13">
        <f>IF(L13="",0,VLOOKUP(L13,Table_Data_Item!$C:$W,21,FALSE)*M13/10000)</f>
        <v>225</v>
      </c>
      <c r="AF13">
        <f>IF(N13="",0,VLOOKUP(N13,Table_Data_Item!$C:$W,21,FALSE)*O13/10000)</f>
        <v>225</v>
      </c>
      <c r="AG13">
        <f>IF(P13="",0,VLOOKUP(P13,Table_Data_Item!$C:$W,21,FALSE)*Q13/10000)</f>
        <v>0</v>
      </c>
      <c r="AH13">
        <f>IF(R13="",0,VLOOKUP(R13,Table_Data_Item!$C:$W,21,FALSE)*S13/10000)</f>
        <v>0</v>
      </c>
      <c r="AI13">
        <f>IF(T13="",0,VLOOKUP(T13,Table_Data_Item!$C:$W,21,FALSE)*U13/10000)</f>
        <v>0</v>
      </c>
      <c r="AJ13">
        <f>IF(V13="",0,VLOOKUP(V13,Table_Data_Item!$C:$W,21,FALSE)*W13/10000)</f>
        <v>0</v>
      </c>
      <c r="AK13">
        <f>IF(X13="",0,VLOOKUP(X13,Table_Data_Item!$C:$W,21,FALSE)*Y13/10000)</f>
        <v>0</v>
      </c>
      <c r="AL13">
        <f>IF(Z13="",0,VLOOKUP(Z13,Table_Data_Item!$C:$W,21,FALSE)*AA13/10000)</f>
        <v>0</v>
      </c>
      <c r="AM13">
        <f>IF(AB13="",0,VLOOKUP(AB13,Table_Data_Item!$C:$W,21,FALSE)*AC13/10000)</f>
        <v>0</v>
      </c>
    </row>
    <row r="14" spans="1:39" x14ac:dyDescent="0.3">
      <c r="A14" t="s">
        <v>553</v>
      </c>
      <c r="B14">
        <v>2</v>
      </c>
      <c r="C14">
        <v>0</v>
      </c>
      <c r="D14">
        <f t="shared" si="0"/>
        <v>840</v>
      </c>
      <c r="E14">
        <f t="shared" si="1"/>
        <v>840</v>
      </c>
      <c r="F14">
        <f t="shared" si="2"/>
        <v>672</v>
      </c>
      <c r="G14">
        <f t="shared" si="3"/>
        <v>336</v>
      </c>
      <c r="AD14">
        <f>IF(J14="",0,VLOOKUP(J14,Table_Data_Item!$C:$W,21,FALSE)*K14/10000)</f>
        <v>0</v>
      </c>
      <c r="AE14">
        <f>IF(L14="",0,VLOOKUP(L14,Table_Data_Item!$C:$W,21,FALSE)*M14/10000)</f>
        <v>0</v>
      </c>
      <c r="AF14">
        <f>IF(N14="",0,VLOOKUP(N14,Table_Data_Item!$C:$W,21,FALSE)*O14/10000)</f>
        <v>0</v>
      </c>
      <c r="AG14">
        <f>IF(P14="",0,VLOOKUP(P14,Table_Data_Item!$C:$W,21,FALSE)*Q14/10000)</f>
        <v>0</v>
      </c>
      <c r="AH14">
        <f>IF(R14="",0,VLOOKUP(R14,Table_Data_Item!$C:$W,21,FALSE)*S14/10000)</f>
        <v>0</v>
      </c>
      <c r="AI14">
        <f>IF(T14="",0,VLOOKUP(T14,Table_Data_Item!$C:$W,21,FALSE)*U14/10000)</f>
        <v>0</v>
      </c>
      <c r="AJ14">
        <f>IF(V14="",0,VLOOKUP(V14,Table_Data_Item!$C:$W,21,FALSE)*W14/10000)</f>
        <v>0</v>
      </c>
      <c r="AK14">
        <f>IF(X14="",0,VLOOKUP(X14,Table_Data_Item!$C:$W,21,FALSE)*Y14/10000)</f>
        <v>0</v>
      </c>
      <c r="AL14">
        <f>IF(Z14="",0,VLOOKUP(Z14,Table_Data_Item!$C:$W,21,FALSE)*AA14/10000)</f>
        <v>0</v>
      </c>
      <c r="AM14">
        <f>IF(AB14="",0,VLOOKUP(AB14,Table_Data_Item!$C:$W,21,FALSE)*AC14/10000)</f>
        <v>0</v>
      </c>
    </row>
    <row r="15" spans="1:39" x14ac:dyDescent="0.3">
      <c r="A15" t="s">
        <v>558</v>
      </c>
      <c r="B15">
        <v>2</v>
      </c>
      <c r="C15">
        <v>1</v>
      </c>
      <c r="D15">
        <f t="shared" si="0"/>
        <v>420</v>
      </c>
      <c r="E15">
        <f t="shared" si="1"/>
        <v>1180</v>
      </c>
      <c r="F15">
        <f t="shared" si="2"/>
        <v>0</v>
      </c>
      <c r="G15">
        <f t="shared" si="3"/>
        <v>0</v>
      </c>
      <c r="J15" t="s">
        <v>540</v>
      </c>
      <c r="K15">
        <v>3000</v>
      </c>
      <c r="L15" t="s">
        <v>564</v>
      </c>
      <c r="M15">
        <v>100</v>
      </c>
      <c r="N15" t="s">
        <v>565</v>
      </c>
      <c r="O15">
        <v>100</v>
      </c>
      <c r="P15" t="s">
        <v>566</v>
      </c>
      <c r="Q15">
        <v>100</v>
      </c>
      <c r="R15" t="s">
        <v>567</v>
      </c>
      <c r="S15">
        <v>100</v>
      </c>
      <c r="AD15">
        <f>IF(J15="",0,VLOOKUP(J15,Table_Data_Item!$C:$W,21,FALSE)*K15/10000)</f>
        <v>180</v>
      </c>
      <c r="AE15">
        <f>IF(L15="",0,VLOOKUP(L15,Table_Data_Item!$C:$W,21,FALSE)*M15/10000)</f>
        <v>312.5</v>
      </c>
      <c r="AF15">
        <f>IF(N15="",0,VLOOKUP(N15,Table_Data_Item!$C:$W,21,FALSE)*O15/10000)</f>
        <v>187.5</v>
      </c>
      <c r="AG15">
        <f>IF(P15="",0,VLOOKUP(P15,Table_Data_Item!$C:$W,21,FALSE)*Q15/10000)</f>
        <v>250</v>
      </c>
      <c r="AH15">
        <f>IF(R15="",0,VLOOKUP(R15,Table_Data_Item!$C:$W,21,FALSE)*S15/10000)</f>
        <v>250</v>
      </c>
      <c r="AI15">
        <f>IF(T15="",0,VLOOKUP(T15,Table_Data_Item!$C:$W,21,FALSE)*U15/10000)</f>
        <v>0</v>
      </c>
      <c r="AJ15">
        <f>IF(V15="",0,VLOOKUP(V15,Table_Data_Item!$C:$W,21,FALSE)*W15/10000)</f>
        <v>0</v>
      </c>
      <c r="AK15">
        <f>IF(X15="",0,VLOOKUP(X15,Table_Data_Item!$C:$W,21,FALSE)*Y15/10000)</f>
        <v>0</v>
      </c>
      <c r="AL15">
        <f>IF(Z15="",0,VLOOKUP(Z15,Table_Data_Item!$C:$W,21,FALSE)*AA15/10000)</f>
        <v>0</v>
      </c>
      <c r="AM15">
        <f>IF(AB15="",0,VLOOKUP(AB15,Table_Data_Item!$C:$W,21,FALSE)*AC15/10000)</f>
        <v>0</v>
      </c>
    </row>
    <row r="16" spans="1:39" x14ac:dyDescent="0.3">
      <c r="A16" t="s">
        <v>559</v>
      </c>
      <c r="B16">
        <v>2</v>
      </c>
      <c r="C16">
        <v>2</v>
      </c>
      <c r="D16">
        <f t="shared" ref="D16" si="8">VLOOKUP(B16,$B$2:$G$5,2+C16,FALSE)</f>
        <v>840</v>
      </c>
      <c r="E16">
        <f t="shared" ref="E16" si="9">F16+G16*0.5+SUM(AD16:AM16)</f>
        <v>2250</v>
      </c>
      <c r="F16">
        <f t="shared" ref="F16" si="10">IF(C16&gt;0,0,VLOOKUP(B16,$B$2:$G$5,5,FALSE))</f>
        <v>0</v>
      </c>
      <c r="G16">
        <f t="shared" ref="G16" si="11">IF(C16&gt;0,0,VLOOKUP(B16,$B$2:$G$5,6,FALSE))*2</f>
        <v>0</v>
      </c>
      <c r="J16" t="s">
        <v>568</v>
      </c>
      <c r="K16">
        <v>200</v>
      </c>
      <c r="L16" t="s">
        <v>569</v>
      </c>
      <c r="M16">
        <v>200</v>
      </c>
      <c r="N16" t="s">
        <v>570</v>
      </c>
      <c r="O16">
        <v>200</v>
      </c>
      <c r="AD16">
        <f>IF(J16="",0,VLOOKUP(J16,Table_Data_Item!$C:$W,21,FALSE)*K16/10000)</f>
        <v>750</v>
      </c>
      <c r="AE16">
        <f>IF(L16="",0,VLOOKUP(L16,Table_Data_Item!$C:$W,21,FALSE)*M16/10000)</f>
        <v>750</v>
      </c>
      <c r="AF16">
        <f>IF(N16="",0,VLOOKUP(N16,Table_Data_Item!$C:$W,21,FALSE)*O16/10000)</f>
        <v>750</v>
      </c>
      <c r="AG16">
        <f>IF(P16="",0,VLOOKUP(P16,Table_Data_Item!$C:$W,21,FALSE)*Q16/10000)</f>
        <v>0</v>
      </c>
      <c r="AH16">
        <f>IF(R16="",0,VLOOKUP(R16,Table_Data_Item!$C:$W,21,FALSE)*S16/10000)</f>
        <v>0</v>
      </c>
      <c r="AI16">
        <f>IF(T16="",0,VLOOKUP(T16,Table_Data_Item!$C:$W,21,FALSE)*U16/10000)</f>
        <v>0</v>
      </c>
      <c r="AJ16">
        <f>IF(V16="",0,VLOOKUP(V16,Table_Data_Item!$C:$W,21,FALSE)*W16/10000)</f>
        <v>0</v>
      </c>
      <c r="AK16">
        <f>IF(X16="",0,VLOOKUP(X16,Table_Data_Item!$C:$W,21,FALSE)*Y16/10000)</f>
        <v>0</v>
      </c>
      <c r="AL16">
        <f>IF(Z16="",0,VLOOKUP(Z16,Table_Data_Item!$C:$W,21,FALSE)*AA16/10000)</f>
        <v>0</v>
      </c>
      <c r="AM16">
        <f>IF(AB16="",0,VLOOKUP(AB16,Table_Data_Item!$C:$W,21,FALSE)*AC16/10000)</f>
        <v>0</v>
      </c>
    </row>
    <row r="17" spans="1:39" x14ac:dyDescent="0.3">
      <c r="A17" t="s">
        <v>554</v>
      </c>
      <c r="B17">
        <v>3</v>
      </c>
      <c r="C17">
        <v>0</v>
      </c>
      <c r="D17">
        <f t="shared" si="0"/>
        <v>960</v>
      </c>
      <c r="E17">
        <f t="shared" si="1"/>
        <v>960</v>
      </c>
      <c r="F17">
        <f t="shared" si="2"/>
        <v>768</v>
      </c>
      <c r="G17">
        <f t="shared" si="3"/>
        <v>384</v>
      </c>
      <c r="AD17">
        <f>IF(J17="",0,VLOOKUP(J17,Table_Data_Item!$C:$W,21,FALSE)*K17/10000)</f>
        <v>0</v>
      </c>
      <c r="AE17">
        <f>IF(L17="",0,VLOOKUP(L17,Table_Data_Item!$C:$W,21,FALSE)*M17/10000)</f>
        <v>0</v>
      </c>
      <c r="AF17">
        <f>IF(N17="",0,VLOOKUP(N17,Table_Data_Item!$C:$W,21,FALSE)*O17/10000)</f>
        <v>0</v>
      </c>
      <c r="AG17">
        <f>IF(P17="",0,VLOOKUP(P17,Table_Data_Item!$C:$W,21,FALSE)*Q17/10000)</f>
        <v>0</v>
      </c>
      <c r="AH17">
        <f>IF(R17="",0,VLOOKUP(R17,Table_Data_Item!$C:$W,21,FALSE)*S17/10000)</f>
        <v>0</v>
      </c>
      <c r="AI17">
        <f>IF(T17="",0,VLOOKUP(T17,Table_Data_Item!$C:$W,21,FALSE)*U17/10000)</f>
        <v>0</v>
      </c>
      <c r="AJ17">
        <f>IF(V17="",0,VLOOKUP(V17,Table_Data_Item!$C:$W,21,FALSE)*W17/10000)</f>
        <v>0</v>
      </c>
      <c r="AK17">
        <f>IF(X17="",0,VLOOKUP(X17,Table_Data_Item!$C:$W,21,FALSE)*Y17/10000)</f>
        <v>0</v>
      </c>
      <c r="AL17">
        <f>IF(Z17="",0,VLOOKUP(Z17,Table_Data_Item!$C:$W,21,FALSE)*AA17/10000)</f>
        <v>0</v>
      </c>
      <c r="AM17">
        <f>IF(AB17="",0,VLOOKUP(AB17,Table_Data_Item!$C:$W,21,FALSE)*AC17/10000)</f>
        <v>0</v>
      </c>
    </row>
    <row r="18" spans="1:39" x14ac:dyDescent="0.3">
      <c r="A18" t="s">
        <v>560</v>
      </c>
      <c r="B18">
        <v>3</v>
      </c>
      <c r="C18">
        <v>1</v>
      </c>
      <c r="D18">
        <f t="shared" si="0"/>
        <v>480</v>
      </c>
      <c r="E18">
        <f t="shared" si="1"/>
        <v>2800</v>
      </c>
      <c r="F18">
        <f t="shared" si="2"/>
        <v>0</v>
      </c>
      <c r="G18">
        <f t="shared" si="3"/>
        <v>0</v>
      </c>
      <c r="J18" t="s">
        <v>541</v>
      </c>
      <c r="K18">
        <v>3000</v>
      </c>
      <c r="L18" t="s">
        <v>571</v>
      </c>
      <c r="M18">
        <v>50</v>
      </c>
      <c r="N18" t="s">
        <v>572</v>
      </c>
      <c r="O18">
        <v>50</v>
      </c>
      <c r="P18" t="s">
        <v>573</v>
      </c>
      <c r="Q18">
        <v>50</v>
      </c>
      <c r="R18" t="s">
        <v>574</v>
      </c>
      <c r="S18">
        <v>50</v>
      </c>
      <c r="AD18">
        <f>IF(J18="",0,VLOOKUP(J18,Table_Data_Item!$C:$W,21,FALSE)*K18/10000)</f>
        <v>300</v>
      </c>
      <c r="AE18">
        <f>IF(L18="",0,VLOOKUP(L18,Table_Data_Item!$C:$W,21,FALSE)*M18/10000)</f>
        <v>625</v>
      </c>
      <c r="AF18">
        <f>IF(N18="",0,VLOOKUP(N18,Table_Data_Item!$C:$W,21,FALSE)*O18/10000)</f>
        <v>625</v>
      </c>
      <c r="AG18">
        <f>IF(P18="",0,VLOOKUP(P18,Table_Data_Item!$C:$W,21,FALSE)*Q18/10000)</f>
        <v>781.25</v>
      </c>
      <c r="AH18">
        <f>IF(R18="",0,VLOOKUP(R18,Table_Data_Item!$C:$W,21,FALSE)*S18/10000)</f>
        <v>468.75</v>
      </c>
      <c r="AI18">
        <f>IF(T18="",0,VLOOKUP(T18,Table_Data_Item!$C:$W,21,FALSE)*U18/10000)</f>
        <v>0</v>
      </c>
      <c r="AJ18">
        <f>IF(V18="",0,VLOOKUP(V18,Table_Data_Item!$C:$W,21,FALSE)*W18/10000)</f>
        <v>0</v>
      </c>
      <c r="AK18">
        <f>IF(X18="",0,VLOOKUP(X18,Table_Data_Item!$C:$W,21,FALSE)*Y18/10000)</f>
        <v>0</v>
      </c>
      <c r="AL18">
        <f>IF(Z18="",0,VLOOKUP(Z18,Table_Data_Item!$C:$W,21,FALSE)*AA18/10000)</f>
        <v>0</v>
      </c>
      <c r="AM18">
        <f>IF(AB18="",0,VLOOKUP(AB18,Table_Data_Item!$C:$W,21,FALSE)*AC18/10000)</f>
        <v>0</v>
      </c>
    </row>
    <row r="19" spans="1:39" x14ac:dyDescent="0.3">
      <c r="A19" t="s">
        <v>561</v>
      </c>
      <c r="B19">
        <v>3</v>
      </c>
      <c r="C19">
        <v>2</v>
      </c>
      <c r="D19">
        <f t="shared" ref="D19" si="12">VLOOKUP(B19,$B$2:$G$5,2+C19,FALSE)</f>
        <v>960</v>
      </c>
      <c r="E19">
        <f t="shared" ref="E19" si="13">F19+G19*0.5+SUM(AD19:AM19)</f>
        <v>5625</v>
      </c>
      <c r="F19">
        <f t="shared" ref="F19" si="14">IF(C19&gt;0,0,VLOOKUP(B19,$B$2:$G$5,5,FALSE))</f>
        <v>0</v>
      </c>
      <c r="G19">
        <f t="shared" ref="G19" si="15">IF(C19&gt;0,0,VLOOKUP(B19,$B$2:$G$5,6,FALSE))*2</f>
        <v>0</v>
      </c>
      <c r="J19" t="s">
        <v>575</v>
      </c>
      <c r="K19">
        <v>100</v>
      </c>
      <c r="L19" t="s">
        <v>576</v>
      </c>
      <c r="M19">
        <v>100</v>
      </c>
      <c r="N19" t="s">
        <v>577</v>
      </c>
      <c r="O19">
        <v>100</v>
      </c>
      <c r="AD19">
        <f>IF(J19="",0,VLOOKUP(J19,Table_Data_Item!$C:$W,21,FALSE)*K19/10000)</f>
        <v>1875</v>
      </c>
      <c r="AE19">
        <f>IF(L19="",0,VLOOKUP(L19,Table_Data_Item!$C:$W,21,FALSE)*M19/10000)</f>
        <v>1875</v>
      </c>
      <c r="AF19">
        <f>IF(N19="",0,VLOOKUP(N19,Table_Data_Item!$C:$W,21,FALSE)*O19/10000)</f>
        <v>1875</v>
      </c>
      <c r="AG19">
        <f>IF(P19="",0,VLOOKUP(P19,Table_Data_Item!$C:$W,21,FALSE)*Q19/10000)</f>
        <v>0</v>
      </c>
      <c r="AH19">
        <f>IF(R19="",0,VLOOKUP(R19,Table_Data_Item!$C:$W,21,FALSE)*S19/10000)</f>
        <v>0</v>
      </c>
      <c r="AI19">
        <f>IF(T19="",0,VLOOKUP(T19,Table_Data_Item!$C:$W,21,FALSE)*U19/10000)</f>
        <v>0</v>
      </c>
      <c r="AJ19">
        <f>IF(V19="",0,VLOOKUP(V19,Table_Data_Item!$C:$W,21,FALSE)*W19/10000)</f>
        <v>0</v>
      </c>
      <c r="AK19">
        <f>IF(X19="",0,VLOOKUP(X19,Table_Data_Item!$C:$W,21,FALSE)*Y19/10000)</f>
        <v>0</v>
      </c>
      <c r="AL19">
        <f>IF(Z19="",0,VLOOKUP(Z19,Table_Data_Item!$C:$W,21,FALSE)*AA19/10000)</f>
        <v>0</v>
      </c>
      <c r="AM19">
        <f>IF(AB19="",0,VLOOKUP(AB19,Table_Data_Item!$C:$W,21,FALSE)*AC19/10000)</f>
        <v>0</v>
      </c>
    </row>
    <row r="20" spans="1:39" x14ac:dyDescent="0.3">
      <c r="A20" t="s">
        <v>555</v>
      </c>
      <c r="B20">
        <v>4</v>
      </c>
      <c r="C20">
        <v>0</v>
      </c>
      <c r="D20">
        <f t="shared" si="0"/>
        <v>1080</v>
      </c>
      <c r="E20">
        <f t="shared" si="1"/>
        <v>1080</v>
      </c>
      <c r="F20">
        <f t="shared" si="2"/>
        <v>864</v>
      </c>
      <c r="G20">
        <f t="shared" si="3"/>
        <v>432</v>
      </c>
      <c r="AD20">
        <f>IF(J20="",0,VLOOKUP(J20,Table_Data_Item!$C:$W,21,FALSE)*K20/10000)</f>
        <v>0</v>
      </c>
      <c r="AE20">
        <f>IF(L20="",0,VLOOKUP(L20,Table_Data_Item!$C:$W,21,FALSE)*M20/10000)</f>
        <v>0</v>
      </c>
      <c r="AF20">
        <f>IF(N20="",0,VLOOKUP(N20,Table_Data_Item!$C:$W,21,FALSE)*O20/10000)</f>
        <v>0</v>
      </c>
      <c r="AG20">
        <f>IF(P20="",0,VLOOKUP(P20,Table_Data_Item!$C:$W,21,FALSE)*Q20/10000)</f>
        <v>0</v>
      </c>
      <c r="AH20">
        <f>IF(R20="",0,VLOOKUP(R20,Table_Data_Item!$C:$W,21,FALSE)*S20/10000)</f>
        <v>0</v>
      </c>
      <c r="AI20">
        <f>IF(T20="",0,VLOOKUP(T20,Table_Data_Item!$C:$W,21,FALSE)*U20/10000)</f>
        <v>0</v>
      </c>
      <c r="AJ20">
        <f>IF(V20="",0,VLOOKUP(V20,Table_Data_Item!$C:$W,21,FALSE)*W20/10000)</f>
        <v>0</v>
      </c>
      <c r="AK20">
        <f>IF(X20="",0,VLOOKUP(X20,Table_Data_Item!$C:$W,21,FALSE)*Y20/10000)</f>
        <v>0</v>
      </c>
      <c r="AL20">
        <f>IF(Z20="",0,VLOOKUP(Z20,Table_Data_Item!$C:$W,21,FALSE)*AA20/10000)</f>
        <v>0</v>
      </c>
      <c r="AM20">
        <f>IF(AB20="",0,VLOOKUP(AB20,Table_Data_Item!$C:$W,21,FALSE)*AC20/10000)</f>
        <v>0</v>
      </c>
    </row>
    <row r="21" spans="1:39" x14ac:dyDescent="0.3">
      <c r="A21" t="s">
        <v>562</v>
      </c>
      <c r="B21">
        <v>4</v>
      </c>
      <c r="C21">
        <v>1</v>
      </c>
      <c r="D21">
        <f t="shared" si="0"/>
        <v>540</v>
      </c>
      <c r="E21">
        <f t="shared" si="1"/>
        <v>12875</v>
      </c>
      <c r="F21">
        <f t="shared" si="2"/>
        <v>0</v>
      </c>
      <c r="G21">
        <f t="shared" si="3"/>
        <v>0</v>
      </c>
      <c r="J21" t="s">
        <v>542</v>
      </c>
      <c r="K21">
        <v>2500</v>
      </c>
      <c r="L21" t="s">
        <v>578</v>
      </c>
      <c r="M21">
        <v>50</v>
      </c>
      <c r="N21" t="s">
        <v>579</v>
      </c>
      <c r="O21">
        <v>50</v>
      </c>
      <c r="P21" t="s">
        <v>580</v>
      </c>
      <c r="Q21">
        <v>50</v>
      </c>
      <c r="R21" t="s">
        <v>581</v>
      </c>
      <c r="S21">
        <v>50</v>
      </c>
      <c r="AD21">
        <f>IF(J21="",0,VLOOKUP(J21,Table_Data_Item!$C:$W,21,FALSE)*K21/10000)</f>
        <v>375</v>
      </c>
      <c r="AE21">
        <f>IF(L21="",0,VLOOKUP(L21,Table_Data_Item!$C:$W,21,FALSE)*M21/10000)</f>
        <v>3125</v>
      </c>
      <c r="AF21">
        <f>IF(N21="",0,VLOOKUP(N21,Table_Data_Item!$C:$W,21,FALSE)*O21/10000)</f>
        <v>3125</v>
      </c>
      <c r="AG21">
        <f>IF(P21="",0,VLOOKUP(P21,Table_Data_Item!$C:$W,21,FALSE)*Q21/10000)</f>
        <v>3906.25</v>
      </c>
      <c r="AH21">
        <f>IF(R21="",0,VLOOKUP(R21,Table_Data_Item!$C:$W,21,FALSE)*S21/10000)</f>
        <v>2343.75</v>
      </c>
      <c r="AI21">
        <f>IF(T21="",0,VLOOKUP(T21,Table_Data_Item!$C:$W,21,FALSE)*U21/10000)</f>
        <v>0</v>
      </c>
      <c r="AJ21">
        <f>IF(V21="",0,VLOOKUP(V21,Table_Data_Item!$C:$W,21,FALSE)*W21/10000)</f>
        <v>0</v>
      </c>
      <c r="AK21">
        <f>IF(X21="",0,VLOOKUP(X21,Table_Data_Item!$C:$W,21,FALSE)*Y21/10000)</f>
        <v>0</v>
      </c>
      <c r="AL21">
        <f>IF(Z21="",0,VLOOKUP(Z21,Table_Data_Item!$C:$W,21,FALSE)*AA21/10000)</f>
        <v>0</v>
      </c>
      <c r="AM21">
        <f>IF(AB21="",0,VLOOKUP(AB21,Table_Data_Item!$C:$W,21,FALSE)*AC21/10000)</f>
        <v>0</v>
      </c>
    </row>
    <row r="22" spans="1:39" x14ac:dyDescent="0.3">
      <c r="A22" t="s">
        <v>563</v>
      </c>
      <c r="B22">
        <v>4</v>
      </c>
      <c r="C22">
        <v>2</v>
      </c>
      <c r="D22">
        <f t="shared" ref="D22" si="16">VLOOKUP(B22,$B$2:$G$5,2+C22,FALSE)</f>
        <v>1080</v>
      </c>
      <c r="E22">
        <f t="shared" ref="E22" si="17">F22+G22*0.5+SUM(AD22:AM22)</f>
        <v>14062.5</v>
      </c>
      <c r="F22">
        <f t="shared" ref="F22" si="18">IF(C22&gt;0,0,VLOOKUP(B22,$B$2:$G$5,5,FALSE))</f>
        <v>0</v>
      </c>
      <c r="G22">
        <f t="shared" ref="G22" si="19">IF(C22&gt;0,0,VLOOKUP(B22,$B$2:$G$5,6,FALSE))*2</f>
        <v>0</v>
      </c>
      <c r="J22" t="s">
        <v>582</v>
      </c>
      <c r="K22">
        <v>50</v>
      </c>
      <c r="L22" t="s">
        <v>583</v>
      </c>
      <c r="M22">
        <v>50</v>
      </c>
      <c r="N22" t="s">
        <v>584</v>
      </c>
      <c r="O22">
        <v>50</v>
      </c>
      <c r="AD22">
        <f>IF(J22="",0,VLOOKUP(J22,Table_Data_Item!$C:$W,21,FALSE)*K22/10000)</f>
        <v>4687.5</v>
      </c>
      <c r="AE22">
        <f>IF(L22="",0,VLOOKUP(L22,Table_Data_Item!$C:$W,21,FALSE)*M22/10000)</f>
        <v>4687.5</v>
      </c>
      <c r="AF22">
        <f>IF(N22="",0,VLOOKUP(N22,Table_Data_Item!$C:$W,21,FALSE)*O22/10000)</f>
        <v>4687.5</v>
      </c>
      <c r="AG22">
        <f>IF(P22="",0,VLOOKUP(P22,Table_Data_Item!$C:$W,21,FALSE)*Q22/10000)</f>
        <v>0</v>
      </c>
      <c r="AH22">
        <f>IF(R22="",0,VLOOKUP(R22,Table_Data_Item!$C:$W,21,FALSE)*S22/10000)</f>
        <v>0</v>
      </c>
      <c r="AI22">
        <f>IF(T22="",0,VLOOKUP(T22,Table_Data_Item!$C:$W,21,FALSE)*U22/10000)</f>
        <v>0</v>
      </c>
      <c r="AJ22">
        <f>IF(V22="",0,VLOOKUP(V22,Table_Data_Item!$C:$W,21,FALSE)*W22/10000)</f>
        <v>0</v>
      </c>
      <c r="AK22">
        <f>IF(X22="",0,VLOOKUP(X22,Table_Data_Item!$C:$W,21,FALSE)*Y22/10000)</f>
        <v>0</v>
      </c>
      <c r="AL22">
        <f>IF(Z22="",0,VLOOKUP(Z22,Table_Data_Item!$C:$W,21,FALSE)*AA22/10000)</f>
        <v>0</v>
      </c>
      <c r="AM22">
        <f>IF(AB22="",0,VLOOKUP(AB22,Table_Data_Item!$C:$W,21,FALSE)*AC22/10000)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5" sqref="B5"/>
    </sheetView>
  </sheetViews>
  <sheetFormatPr defaultRowHeight="16.5" x14ac:dyDescent="0.3"/>
  <cols>
    <col min="1" max="1" width="16.625" customWidth="1"/>
  </cols>
  <sheetData>
    <row r="1" spans="1:2" x14ac:dyDescent="0.3">
      <c r="A1" t="s">
        <v>494</v>
      </c>
      <c r="B1">
        <v>10</v>
      </c>
    </row>
    <row r="2" spans="1:2" x14ac:dyDescent="0.3">
      <c r="A2" t="s">
        <v>495</v>
      </c>
      <c r="B2">
        <v>60</v>
      </c>
    </row>
    <row r="3" spans="1:2" x14ac:dyDescent="0.3">
      <c r="A3" t="s">
        <v>0</v>
      </c>
      <c r="B3">
        <v>0.2</v>
      </c>
    </row>
    <row r="4" spans="1:2" x14ac:dyDescent="0.3">
      <c r="A4" t="s">
        <v>1</v>
      </c>
      <c r="B4">
        <v>0.5</v>
      </c>
    </row>
    <row r="5" spans="1:2" x14ac:dyDescent="0.3">
      <c r="A5" t="s">
        <v>2</v>
      </c>
      <c r="B5">
        <v>0.2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1"/>
  <sheetViews>
    <sheetView workbookViewId="0">
      <selection activeCell="C11" sqref="C11"/>
    </sheetView>
  </sheetViews>
  <sheetFormatPr defaultRowHeight="16.5" x14ac:dyDescent="0.3"/>
  <sheetData>
    <row r="1" spans="1:30" x14ac:dyDescent="0.3">
      <c r="A1" t="s">
        <v>227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3</v>
      </c>
      <c r="S1" t="s">
        <v>4</v>
      </c>
      <c r="T1" t="s">
        <v>5</v>
      </c>
      <c r="U1" t="s">
        <v>6</v>
      </c>
      <c r="V1" t="s">
        <v>244</v>
      </c>
      <c r="W1" t="s">
        <v>245</v>
      </c>
      <c r="X1" t="s">
        <v>246</v>
      </c>
      <c r="Y1" t="s">
        <v>220</v>
      </c>
      <c r="Z1" t="s">
        <v>247</v>
      </c>
      <c r="AA1" t="s">
        <v>248</v>
      </c>
      <c r="AB1" t="s">
        <v>249</v>
      </c>
      <c r="AC1" t="s">
        <v>7</v>
      </c>
      <c r="AD1" t="s">
        <v>8</v>
      </c>
    </row>
    <row r="2" spans="1:30" x14ac:dyDescent="0.3">
      <c r="A2">
        <v>30000</v>
      </c>
      <c r="B2" t="s">
        <v>250</v>
      </c>
      <c r="C2" t="s">
        <v>499</v>
      </c>
      <c r="D2" t="s">
        <v>251</v>
      </c>
      <c r="E2" t="s">
        <v>252</v>
      </c>
      <c r="F2">
        <v>0</v>
      </c>
      <c r="G2" t="s">
        <v>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10</v>
      </c>
      <c r="P2">
        <v>20</v>
      </c>
      <c r="Q2" t="s">
        <v>11</v>
      </c>
      <c r="T2" t="s">
        <v>11</v>
      </c>
      <c r="U2" t="s">
        <v>11</v>
      </c>
      <c r="V2" t="b">
        <v>1</v>
      </c>
      <c r="W2">
        <v>200</v>
      </c>
      <c r="X2">
        <v>0</v>
      </c>
      <c r="Y2" t="s">
        <v>11</v>
      </c>
      <c r="Z2">
        <v>0</v>
      </c>
      <c r="AA2" t="s">
        <v>253</v>
      </c>
      <c r="AB2" t="s">
        <v>11</v>
      </c>
      <c r="AC2" t="s">
        <v>11</v>
      </c>
      <c r="AD2" t="s">
        <v>11</v>
      </c>
    </row>
    <row r="3" spans="1:30" x14ac:dyDescent="0.3">
      <c r="A3">
        <v>30001</v>
      </c>
      <c r="B3" t="s">
        <v>254</v>
      </c>
      <c r="C3" t="s">
        <v>12</v>
      </c>
      <c r="D3" t="s">
        <v>255</v>
      </c>
      <c r="E3" t="s">
        <v>256</v>
      </c>
      <c r="F3">
        <v>0</v>
      </c>
      <c r="G3" t="s">
        <v>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10</v>
      </c>
      <c r="P3">
        <v>60</v>
      </c>
      <c r="Q3" t="s">
        <v>11</v>
      </c>
      <c r="T3" t="s">
        <v>11</v>
      </c>
      <c r="U3" t="s">
        <v>11</v>
      </c>
      <c r="V3" t="b">
        <v>1</v>
      </c>
      <c r="W3">
        <v>600</v>
      </c>
      <c r="X3">
        <v>0</v>
      </c>
      <c r="Y3" t="s">
        <v>11</v>
      </c>
      <c r="Z3">
        <v>0</v>
      </c>
      <c r="AA3" t="s">
        <v>13</v>
      </c>
      <c r="AB3" t="s">
        <v>11</v>
      </c>
      <c r="AC3" t="s">
        <v>11</v>
      </c>
      <c r="AD3" t="s">
        <v>11</v>
      </c>
    </row>
    <row r="4" spans="1:30" x14ac:dyDescent="0.3">
      <c r="A4">
        <v>30002</v>
      </c>
      <c r="B4" t="s">
        <v>257</v>
      </c>
      <c r="C4" t="s">
        <v>14</v>
      </c>
      <c r="D4" t="s">
        <v>258</v>
      </c>
      <c r="E4" t="s">
        <v>259</v>
      </c>
      <c r="F4">
        <v>0</v>
      </c>
      <c r="G4" t="s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10</v>
      </c>
      <c r="P4">
        <v>100</v>
      </c>
      <c r="Q4" t="s">
        <v>11</v>
      </c>
      <c r="T4" t="s">
        <v>11</v>
      </c>
      <c r="U4" t="s">
        <v>11</v>
      </c>
      <c r="V4" t="b">
        <v>1</v>
      </c>
      <c r="W4">
        <v>1000</v>
      </c>
      <c r="X4">
        <v>0</v>
      </c>
      <c r="Y4" t="s">
        <v>11</v>
      </c>
      <c r="Z4">
        <v>0</v>
      </c>
      <c r="AA4" t="s">
        <v>15</v>
      </c>
      <c r="AB4" t="s">
        <v>11</v>
      </c>
      <c r="AC4" t="s">
        <v>11</v>
      </c>
      <c r="AD4" t="s">
        <v>11</v>
      </c>
    </row>
    <row r="5" spans="1:30" x14ac:dyDescent="0.3">
      <c r="A5">
        <v>30003</v>
      </c>
      <c r="B5" t="s">
        <v>260</v>
      </c>
      <c r="C5" t="s">
        <v>16</v>
      </c>
      <c r="D5" t="s">
        <v>261</v>
      </c>
      <c r="E5" t="s">
        <v>262</v>
      </c>
      <c r="F5">
        <v>0</v>
      </c>
      <c r="G5" t="s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10</v>
      </c>
      <c r="P5">
        <v>150</v>
      </c>
      <c r="Q5" t="s">
        <v>11</v>
      </c>
      <c r="T5" t="s">
        <v>11</v>
      </c>
      <c r="U5" t="s">
        <v>11</v>
      </c>
      <c r="V5" t="b">
        <v>1</v>
      </c>
      <c r="W5">
        <v>1500</v>
      </c>
      <c r="X5">
        <v>0</v>
      </c>
      <c r="Y5" t="s">
        <v>11</v>
      </c>
      <c r="Z5">
        <v>0</v>
      </c>
      <c r="AA5" t="s">
        <v>17</v>
      </c>
      <c r="AB5" t="s">
        <v>11</v>
      </c>
      <c r="AC5" t="s">
        <v>11</v>
      </c>
      <c r="AD5" t="s">
        <v>11</v>
      </c>
    </row>
    <row r="6" spans="1:30" x14ac:dyDescent="0.3">
      <c r="A6">
        <v>30004</v>
      </c>
      <c r="B6" t="s">
        <v>263</v>
      </c>
      <c r="C6" t="s">
        <v>18</v>
      </c>
      <c r="D6" t="s">
        <v>264</v>
      </c>
      <c r="E6" t="s">
        <v>265</v>
      </c>
      <c r="F6">
        <v>0</v>
      </c>
      <c r="G6" t="s">
        <v>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10</v>
      </c>
      <c r="P6">
        <v>200</v>
      </c>
      <c r="Q6" t="s">
        <v>11</v>
      </c>
      <c r="T6" t="s">
        <v>11</v>
      </c>
      <c r="U6" t="s">
        <v>11</v>
      </c>
      <c r="V6" t="b">
        <v>1</v>
      </c>
      <c r="W6">
        <v>2000</v>
      </c>
      <c r="X6">
        <v>0</v>
      </c>
      <c r="Y6" t="s">
        <v>11</v>
      </c>
      <c r="Z6">
        <v>0</v>
      </c>
      <c r="AA6" t="s">
        <v>19</v>
      </c>
      <c r="AB6" t="s">
        <v>11</v>
      </c>
      <c r="AC6" t="s">
        <v>11</v>
      </c>
      <c r="AD6" t="s">
        <v>11</v>
      </c>
    </row>
    <row r="7" spans="1:30" x14ac:dyDescent="0.3">
      <c r="A7">
        <v>31000</v>
      </c>
      <c r="B7" t="s">
        <v>20</v>
      </c>
      <c r="C7" t="s">
        <v>266</v>
      </c>
      <c r="D7" t="s">
        <v>267</v>
      </c>
      <c r="E7" t="s">
        <v>268</v>
      </c>
      <c r="F7">
        <v>1</v>
      </c>
      <c r="G7" t="s">
        <v>21</v>
      </c>
      <c r="H7">
        <v>2</v>
      </c>
      <c r="I7">
        <v>0</v>
      </c>
      <c r="J7">
        <v>0</v>
      </c>
      <c r="K7">
        <v>2</v>
      </c>
      <c r="L7">
        <v>0</v>
      </c>
      <c r="M7">
        <v>0</v>
      </c>
      <c r="N7">
        <v>0</v>
      </c>
      <c r="O7" t="s">
        <v>22</v>
      </c>
      <c r="P7">
        <v>0</v>
      </c>
      <c r="Q7" t="s">
        <v>11</v>
      </c>
      <c r="T7" t="s">
        <v>11</v>
      </c>
      <c r="U7" t="s">
        <v>11</v>
      </c>
      <c r="V7" t="b">
        <v>0</v>
      </c>
      <c r="W7">
        <v>10</v>
      </c>
      <c r="X7">
        <v>0</v>
      </c>
      <c r="Y7" t="s">
        <v>11</v>
      </c>
      <c r="Z7">
        <v>0</v>
      </c>
      <c r="AA7" t="s">
        <v>269</v>
      </c>
      <c r="AB7" t="s">
        <v>11</v>
      </c>
      <c r="AC7" t="s">
        <v>11</v>
      </c>
      <c r="AD7" t="s">
        <v>11</v>
      </c>
    </row>
    <row r="8" spans="1:30" x14ac:dyDescent="0.3">
      <c r="A8">
        <v>31001</v>
      </c>
      <c r="B8" t="s">
        <v>23</v>
      </c>
      <c r="C8" t="s">
        <v>543</v>
      </c>
      <c r="D8" t="s">
        <v>270</v>
      </c>
      <c r="E8" t="s">
        <v>271</v>
      </c>
      <c r="F8">
        <v>1</v>
      </c>
      <c r="G8" t="s">
        <v>21</v>
      </c>
      <c r="H8">
        <v>2</v>
      </c>
      <c r="I8">
        <v>0</v>
      </c>
      <c r="J8">
        <v>0</v>
      </c>
      <c r="K8">
        <v>4</v>
      </c>
      <c r="L8">
        <v>0</v>
      </c>
      <c r="M8">
        <v>0</v>
      </c>
      <c r="N8">
        <v>0</v>
      </c>
      <c r="O8" t="s">
        <v>22</v>
      </c>
      <c r="P8">
        <v>0</v>
      </c>
      <c r="Q8" t="s">
        <v>11</v>
      </c>
      <c r="T8" t="s">
        <v>11</v>
      </c>
      <c r="U8" t="s">
        <v>11</v>
      </c>
      <c r="V8" t="b">
        <v>0</v>
      </c>
      <c r="W8">
        <v>5000</v>
      </c>
      <c r="X8">
        <v>0</v>
      </c>
      <c r="Y8" t="s">
        <v>11</v>
      </c>
      <c r="Z8">
        <v>0</v>
      </c>
      <c r="AA8" t="s">
        <v>272</v>
      </c>
      <c r="AB8" t="s">
        <v>11</v>
      </c>
      <c r="AC8" t="s">
        <v>11</v>
      </c>
      <c r="AD8" t="s">
        <v>11</v>
      </c>
    </row>
    <row r="9" spans="1:30" x14ac:dyDescent="0.3">
      <c r="A9">
        <v>31002</v>
      </c>
      <c r="B9" t="s">
        <v>25</v>
      </c>
      <c r="C9" t="s">
        <v>26</v>
      </c>
      <c r="D9" t="s">
        <v>273</v>
      </c>
      <c r="E9" t="s">
        <v>274</v>
      </c>
      <c r="F9">
        <v>1</v>
      </c>
      <c r="G9" t="s">
        <v>21</v>
      </c>
      <c r="H9">
        <v>2</v>
      </c>
      <c r="I9">
        <v>0</v>
      </c>
      <c r="J9">
        <v>0</v>
      </c>
      <c r="K9">
        <v>5</v>
      </c>
      <c r="L9">
        <v>0</v>
      </c>
      <c r="M9">
        <v>0</v>
      </c>
      <c r="N9">
        <v>0</v>
      </c>
      <c r="O9" t="s">
        <v>22</v>
      </c>
      <c r="P9">
        <v>0</v>
      </c>
      <c r="Q9" t="s">
        <v>11</v>
      </c>
      <c r="T9" t="s">
        <v>11</v>
      </c>
      <c r="U9" t="s">
        <v>11</v>
      </c>
      <c r="V9" t="b">
        <v>0</v>
      </c>
      <c r="W9">
        <v>7500</v>
      </c>
      <c r="X9">
        <v>0</v>
      </c>
      <c r="Y9" t="s">
        <v>11</v>
      </c>
      <c r="Z9">
        <v>0</v>
      </c>
      <c r="AA9" t="s">
        <v>27</v>
      </c>
      <c r="AB9" t="s">
        <v>11</v>
      </c>
      <c r="AC9" t="s">
        <v>11</v>
      </c>
      <c r="AD9" t="s">
        <v>11</v>
      </c>
    </row>
    <row r="10" spans="1:30" x14ac:dyDescent="0.3">
      <c r="A10">
        <v>31003</v>
      </c>
      <c r="B10" t="s">
        <v>28</v>
      </c>
      <c r="C10" t="s">
        <v>29</v>
      </c>
      <c r="D10" t="s">
        <v>275</v>
      </c>
      <c r="E10" t="s">
        <v>276</v>
      </c>
      <c r="F10">
        <v>1</v>
      </c>
      <c r="G10" t="s">
        <v>21</v>
      </c>
      <c r="H10">
        <v>2</v>
      </c>
      <c r="I10">
        <v>0</v>
      </c>
      <c r="J10">
        <v>0</v>
      </c>
      <c r="K10">
        <v>5</v>
      </c>
      <c r="L10">
        <v>0</v>
      </c>
      <c r="M10">
        <v>0</v>
      </c>
      <c r="N10">
        <v>0</v>
      </c>
      <c r="O10" t="s">
        <v>22</v>
      </c>
      <c r="P10">
        <v>0</v>
      </c>
      <c r="Q10" t="s">
        <v>277</v>
      </c>
      <c r="R10" t="s">
        <v>278</v>
      </c>
      <c r="S10" t="s">
        <v>279</v>
      </c>
      <c r="T10" t="s">
        <v>280</v>
      </c>
      <c r="U10" t="s">
        <v>281</v>
      </c>
      <c r="V10" t="b">
        <v>0</v>
      </c>
      <c r="W10">
        <v>10000</v>
      </c>
      <c r="X10">
        <v>0</v>
      </c>
      <c r="Y10" t="s">
        <v>11</v>
      </c>
      <c r="Z10">
        <v>0</v>
      </c>
      <c r="AA10" t="s">
        <v>30</v>
      </c>
      <c r="AB10" t="s">
        <v>11</v>
      </c>
      <c r="AC10" t="s">
        <v>11</v>
      </c>
      <c r="AD10" t="s">
        <v>11</v>
      </c>
    </row>
    <row r="11" spans="1:30" x14ac:dyDescent="0.3">
      <c r="A11">
        <v>31004</v>
      </c>
      <c r="B11" t="s">
        <v>31</v>
      </c>
      <c r="C11" t="s">
        <v>544</v>
      </c>
      <c r="D11" t="s">
        <v>282</v>
      </c>
      <c r="E11" t="s">
        <v>283</v>
      </c>
      <c r="F11">
        <v>1</v>
      </c>
      <c r="G11" t="s">
        <v>21</v>
      </c>
      <c r="H11">
        <v>2</v>
      </c>
      <c r="I11">
        <v>0</v>
      </c>
      <c r="J11">
        <v>0</v>
      </c>
      <c r="K11">
        <v>2</v>
      </c>
      <c r="L11">
        <v>0</v>
      </c>
      <c r="M11">
        <v>0</v>
      </c>
      <c r="N11">
        <v>20</v>
      </c>
      <c r="O11" t="s">
        <v>22</v>
      </c>
      <c r="P11">
        <v>0</v>
      </c>
      <c r="Q11" t="s">
        <v>11</v>
      </c>
      <c r="T11" t="s">
        <v>11</v>
      </c>
      <c r="U11" t="s">
        <v>11</v>
      </c>
      <c r="V11" t="b">
        <v>0</v>
      </c>
      <c r="W11">
        <v>5000</v>
      </c>
      <c r="X11">
        <v>0</v>
      </c>
      <c r="Y11" t="s">
        <v>11</v>
      </c>
      <c r="Z11">
        <v>0</v>
      </c>
      <c r="AA11" t="s">
        <v>284</v>
      </c>
      <c r="AB11" t="s">
        <v>11</v>
      </c>
      <c r="AC11" t="s">
        <v>11</v>
      </c>
      <c r="AD11" t="s">
        <v>11</v>
      </c>
    </row>
    <row r="12" spans="1:30" x14ac:dyDescent="0.3">
      <c r="A12">
        <v>31005</v>
      </c>
      <c r="B12" t="s">
        <v>32</v>
      </c>
      <c r="C12" t="s">
        <v>33</v>
      </c>
      <c r="D12" t="s">
        <v>285</v>
      </c>
      <c r="E12" t="s">
        <v>286</v>
      </c>
      <c r="F12">
        <v>1</v>
      </c>
      <c r="G12" t="s">
        <v>21</v>
      </c>
      <c r="H12">
        <v>2</v>
      </c>
      <c r="I12">
        <v>0</v>
      </c>
      <c r="J12">
        <v>0</v>
      </c>
      <c r="K12">
        <v>3</v>
      </c>
      <c r="L12">
        <v>0</v>
      </c>
      <c r="M12">
        <v>0</v>
      </c>
      <c r="N12">
        <v>30</v>
      </c>
      <c r="O12" t="s">
        <v>22</v>
      </c>
      <c r="P12">
        <v>0</v>
      </c>
      <c r="Q12" t="s">
        <v>11</v>
      </c>
      <c r="T12" t="s">
        <v>11</v>
      </c>
      <c r="U12" t="s">
        <v>11</v>
      </c>
      <c r="V12" t="b">
        <v>0</v>
      </c>
      <c r="W12">
        <v>7500</v>
      </c>
      <c r="X12">
        <v>0</v>
      </c>
      <c r="Y12" t="s">
        <v>11</v>
      </c>
      <c r="Z12">
        <v>0</v>
      </c>
      <c r="AA12" t="s">
        <v>34</v>
      </c>
      <c r="AB12" t="s">
        <v>11</v>
      </c>
      <c r="AC12" t="s">
        <v>11</v>
      </c>
      <c r="AD12" t="s">
        <v>11</v>
      </c>
    </row>
    <row r="13" spans="1:30" x14ac:dyDescent="0.3">
      <c r="A13">
        <v>31006</v>
      </c>
      <c r="B13" t="s">
        <v>35</v>
      </c>
      <c r="C13" t="s">
        <v>36</v>
      </c>
      <c r="D13" t="s">
        <v>287</v>
      </c>
      <c r="E13" t="s">
        <v>288</v>
      </c>
      <c r="F13">
        <v>1</v>
      </c>
      <c r="G13" t="s">
        <v>21</v>
      </c>
      <c r="H13">
        <v>2</v>
      </c>
      <c r="I13">
        <v>0</v>
      </c>
      <c r="J13">
        <v>0</v>
      </c>
      <c r="K13">
        <v>3</v>
      </c>
      <c r="L13">
        <v>0</v>
      </c>
      <c r="M13">
        <v>0</v>
      </c>
      <c r="N13">
        <v>30</v>
      </c>
      <c r="O13" t="s">
        <v>22</v>
      </c>
      <c r="P13">
        <v>0</v>
      </c>
      <c r="Q13" t="s">
        <v>277</v>
      </c>
      <c r="R13" t="s">
        <v>278</v>
      </c>
      <c r="S13" t="s">
        <v>279</v>
      </c>
      <c r="T13" t="s">
        <v>280</v>
      </c>
      <c r="U13" t="s">
        <v>281</v>
      </c>
      <c r="V13" t="b">
        <v>0</v>
      </c>
      <c r="W13">
        <v>10000</v>
      </c>
      <c r="X13">
        <v>0</v>
      </c>
      <c r="Y13" t="s">
        <v>11</v>
      </c>
      <c r="Z13">
        <v>0</v>
      </c>
      <c r="AA13" t="s">
        <v>37</v>
      </c>
      <c r="AB13" t="s">
        <v>11</v>
      </c>
      <c r="AC13" t="s">
        <v>11</v>
      </c>
      <c r="AD13" t="s">
        <v>11</v>
      </c>
    </row>
    <row r="14" spans="1:30" x14ac:dyDescent="0.3">
      <c r="A14">
        <v>31007</v>
      </c>
      <c r="B14" t="s">
        <v>38</v>
      </c>
      <c r="C14" t="s">
        <v>39</v>
      </c>
      <c r="D14" t="s">
        <v>289</v>
      </c>
      <c r="E14" t="s">
        <v>290</v>
      </c>
      <c r="F14">
        <v>2</v>
      </c>
      <c r="G14" t="s">
        <v>21</v>
      </c>
      <c r="H14">
        <v>2</v>
      </c>
      <c r="I14">
        <v>0</v>
      </c>
      <c r="J14">
        <v>0</v>
      </c>
      <c r="K14">
        <v>8</v>
      </c>
      <c r="L14">
        <v>0</v>
      </c>
      <c r="M14">
        <v>0</v>
      </c>
      <c r="N14">
        <v>0</v>
      </c>
      <c r="O14" t="s">
        <v>22</v>
      </c>
      <c r="P14">
        <v>0</v>
      </c>
      <c r="Q14" t="s">
        <v>11</v>
      </c>
      <c r="T14" t="s">
        <v>11</v>
      </c>
      <c r="U14" t="s">
        <v>11</v>
      </c>
      <c r="V14" t="b">
        <v>0</v>
      </c>
      <c r="W14">
        <v>25000</v>
      </c>
      <c r="X14">
        <v>0</v>
      </c>
      <c r="Y14" t="s">
        <v>11</v>
      </c>
      <c r="Z14">
        <v>0</v>
      </c>
      <c r="AA14" t="s">
        <v>30</v>
      </c>
      <c r="AB14" t="s">
        <v>11</v>
      </c>
      <c r="AC14" t="s">
        <v>11</v>
      </c>
      <c r="AD14" t="s">
        <v>11</v>
      </c>
    </row>
    <row r="15" spans="1:30" x14ac:dyDescent="0.3">
      <c r="A15">
        <v>31008</v>
      </c>
      <c r="B15" t="s">
        <v>40</v>
      </c>
      <c r="C15" t="s">
        <v>41</v>
      </c>
      <c r="D15" t="s">
        <v>291</v>
      </c>
      <c r="E15" t="s">
        <v>292</v>
      </c>
      <c r="F15">
        <v>2</v>
      </c>
      <c r="G15" t="s">
        <v>21</v>
      </c>
      <c r="H15">
        <v>2</v>
      </c>
      <c r="I15">
        <v>0</v>
      </c>
      <c r="J15">
        <v>0</v>
      </c>
      <c r="K15">
        <v>9</v>
      </c>
      <c r="L15">
        <v>0</v>
      </c>
      <c r="M15">
        <v>0</v>
      </c>
      <c r="N15">
        <v>0</v>
      </c>
      <c r="O15" t="s">
        <v>22</v>
      </c>
      <c r="P15">
        <v>0</v>
      </c>
      <c r="Q15" t="s">
        <v>11</v>
      </c>
      <c r="T15" t="s">
        <v>11</v>
      </c>
      <c r="U15" t="s">
        <v>11</v>
      </c>
      <c r="V15" t="b">
        <v>0</v>
      </c>
      <c r="W15">
        <v>37500</v>
      </c>
      <c r="X15">
        <v>0</v>
      </c>
      <c r="Y15" t="s">
        <v>11</v>
      </c>
      <c r="Z15">
        <v>0</v>
      </c>
      <c r="AA15" t="s">
        <v>42</v>
      </c>
      <c r="AB15" t="s">
        <v>11</v>
      </c>
      <c r="AC15" t="s">
        <v>11</v>
      </c>
      <c r="AD15" t="s">
        <v>11</v>
      </c>
    </row>
    <row r="16" spans="1:30" x14ac:dyDescent="0.3">
      <c r="A16">
        <v>31009</v>
      </c>
      <c r="B16" t="s">
        <v>43</v>
      </c>
      <c r="C16" t="s">
        <v>44</v>
      </c>
      <c r="D16" t="s">
        <v>293</v>
      </c>
      <c r="E16" t="s">
        <v>294</v>
      </c>
      <c r="F16">
        <v>2</v>
      </c>
      <c r="G16" t="s">
        <v>21</v>
      </c>
      <c r="H16">
        <v>2</v>
      </c>
      <c r="I16">
        <v>0</v>
      </c>
      <c r="J16">
        <v>0</v>
      </c>
      <c r="K16">
        <v>9</v>
      </c>
      <c r="L16">
        <v>0</v>
      </c>
      <c r="M16">
        <v>0</v>
      </c>
      <c r="N16">
        <v>0</v>
      </c>
      <c r="O16" t="s">
        <v>22</v>
      </c>
      <c r="P16">
        <v>0</v>
      </c>
      <c r="Q16" t="s">
        <v>277</v>
      </c>
      <c r="R16" t="s">
        <v>278</v>
      </c>
      <c r="S16" t="s">
        <v>279</v>
      </c>
      <c r="T16" t="s">
        <v>280</v>
      </c>
      <c r="U16" t="s">
        <v>281</v>
      </c>
      <c r="V16" t="b">
        <v>0</v>
      </c>
      <c r="W16">
        <v>50000</v>
      </c>
      <c r="X16">
        <v>0</v>
      </c>
      <c r="Y16" t="s">
        <v>11</v>
      </c>
      <c r="Z16">
        <v>0</v>
      </c>
      <c r="AA16" t="s">
        <v>42</v>
      </c>
      <c r="AB16" t="s">
        <v>11</v>
      </c>
      <c r="AC16" t="s">
        <v>11</v>
      </c>
      <c r="AD16" t="s">
        <v>11</v>
      </c>
    </row>
    <row r="17" spans="1:30" x14ac:dyDescent="0.3">
      <c r="A17">
        <v>31010</v>
      </c>
      <c r="B17" t="s">
        <v>45</v>
      </c>
      <c r="C17" t="s">
        <v>46</v>
      </c>
      <c r="D17" t="s">
        <v>295</v>
      </c>
      <c r="E17" t="s">
        <v>296</v>
      </c>
      <c r="F17">
        <v>2</v>
      </c>
      <c r="G17" t="s">
        <v>21</v>
      </c>
      <c r="H17">
        <v>2</v>
      </c>
      <c r="I17">
        <v>0</v>
      </c>
      <c r="J17">
        <v>0</v>
      </c>
      <c r="K17">
        <v>4</v>
      </c>
      <c r="L17">
        <v>0</v>
      </c>
      <c r="M17">
        <v>0</v>
      </c>
      <c r="N17">
        <v>40</v>
      </c>
      <c r="O17" t="s">
        <v>22</v>
      </c>
      <c r="P17">
        <v>0</v>
      </c>
      <c r="Q17" t="s">
        <v>11</v>
      </c>
      <c r="T17" t="s">
        <v>11</v>
      </c>
      <c r="U17" t="s">
        <v>11</v>
      </c>
      <c r="V17" t="b">
        <v>0</v>
      </c>
      <c r="W17">
        <v>25000</v>
      </c>
      <c r="X17">
        <v>0</v>
      </c>
      <c r="Y17" t="s">
        <v>11</v>
      </c>
      <c r="Z17">
        <v>0</v>
      </c>
      <c r="AA17" t="s">
        <v>297</v>
      </c>
      <c r="AB17" t="s">
        <v>11</v>
      </c>
      <c r="AC17" t="s">
        <v>11</v>
      </c>
      <c r="AD17" t="s">
        <v>11</v>
      </c>
    </row>
    <row r="18" spans="1:30" x14ac:dyDescent="0.3">
      <c r="A18">
        <v>31011</v>
      </c>
      <c r="B18" t="s">
        <v>47</v>
      </c>
      <c r="C18" t="s">
        <v>48</v>
      </c>
      <c r="D18" t="s">
        <v>298</v>
      </c>
      <c r="E18" t="s">
        <v>299</v>
      </c>
      <c r="F18">
        <v>2</v>
      </c>
      <c r="G18" t="s">
        <v>21</v>
      </c>
      <c r="H18">
        <v>2</v>
      </c>
      <c r="I18">
        <v>0</v>
      </c>
      <c r="J18">
        <v>0</v>
      </c>
      <c r="K18">
        <v>5</v>
      </c>
      <c r="L18">
        <v>0</v>
      </c>
      <c r="M18">
        <v>0</v>
      </c>
      <c r="N18">
        <v>50</v>
      </c>
      <c r="O18" t="s">
        <v>22</v>
      </c>
      <c r="P18">
        <v>0</v>
      </c>
      <c r="Q18" t="s">
        <v>11</v>
      </c>
      <c r="T18" t="s">
        <v>11</v>
      </c>
      <c r="U18" t="s">
        <v>11</v>
      </c>
      <c r="V18" t="b">
        <v>0</v>
      </c>
      <c r="W18">
        <v>37500</v>
      </c>
      <c r="X18">
        <v>0</v>
      </c>
      <c r="Y18" t="s">
        <v>11</v>
      </c>
      <c r="Z18">
        <v>0</v>
      </c>
      <c r="AA18" t="s">
        <v>49</v>
      </c>
      <c r="AB18" t="s">
        <v>11</v>
      </c>
      <c r="AC18" t="s">
        <v>11</v>
      </c>
      <c r="AD18" t="s">
        <v>11</v>
      </c>
    </row>
    <row r="19" spans="1:30" x14ac:dyDescent="0.3">
      <c r="A19">
        <v>31012</v>
      </c>
      <c r="B19" t="s">
        <v>50</v>
      </c>
      <c r="C19" t="s">
        <v>51</v>
      </c>
      <c r="D19" t="s">
        <v>300</v>
      </c>
      <c r="E19" t="s">
        <v>301</v>
      </c>
      <c r="F19">
        <v>2</v>
      </c>
      <c r="G19" t="s">
        <v>21</v>
      </c>
      <c r="H19">
        <v>2</v>
      </c>
      <c r="I19">
        <v>0</v>
      </c>
      <c r="J19">
        <v>0</v>
      </c>
      <c r="K19">
        <v>5</v>
      </c>
      <c r="L19">
        <v>0</v>
      </c>
      <c r="M19">
        <v>0</v>
      </c>
      <c r="N19">
        <v>50</v>
      </c>
      <c r="O19" t="s">
        <v>22</v>
      </c>
      <c r="P19">
        <v>0</v>
      </c>
      <c r="Q19" t="s">
        <v>277</v>
      </c>
      <c r="R19" t="s">
        <v>278</v>
      </c>
      <c r="S19" t="s">
        <v>279</v>
      </c>
      <c r="T19" t="s">
        <v>280</v>
      </c>
      <c r="U19" t="s">
        <v>281</v>
      </c>
      <c r="V19" t="b">
        <v>0</v>
      </c>
      <c r="W19">
        <v>50000</v>
      </c>
      <c r="X19">
        <v>0</v>
      </c>
      <c r="Y19" t="s">
        <v>11</v>
      </c>
      <c r="Z19">
        <v>0</v>
      </c>
      <c r="AA19" t="s">
        <v>52</v>
      </c>
      <c r="AB19" t="s">
        <v>11</v>
      </c>
      <c r="AC19" t="s">
        <v>11</v>
      </c>
      <c r="AD19" t="s">
        <v>11</v>
      </c>
    </row>
    <row r="20" spans="1:30" x14ac:dyDescent="0.3">
      <c r="A20">
        <v>31013</v>
      </c>
      <c r="B20" t="s">
        <v>53</v>
      </c>
      <c r="C20" t="s">
        <v>54</v>
      </c>
      <c r="D20" t="s">
        <v>302</v>
      </c>
      <c r="E20" t="s">
        <v>303</v>
      </c>
      <c r="F20">
        <v>3</v>
      </c>
      <c r="G20" t="s">
        <v>21</v>
      </c>
      <c r="H20">
        <v>2</v>
      </c>
      <c r="I20">
        <v>0</v>
      </c>
      <c r="J20">
        <v>0</v>
      </c>
      <c r="K20">
        <v>12</v>
      </c>
      <c r="L20">
        <v>0</v>
      </c>
      <c r="M20">
        <v>0</v>
      </c>
      <c r="N20">
        <v>0</v>
      </c>
      <c r="O20" t="s">
        <v>22</v>
      </c>
      <c r="P20">
        <v>0</v>
      </c>
      <c r="Q20" t="s">
        <v>11</v>
      </c>
      <c r="T20" t="s">
        <v>11</v>
      </c>
      <c r="U20" t="s">
        <v>11</v>
      </c>
      <c r="V20" t="b">
        <v>0</v>
      </c>
      <c r="W20">
        <v>125000</v>
      </c>
      <c r="X20">
        <v>0</v>
      </c>
      <c r="Y20" t="s">
        <v>11</v>
      </c>
      <c r="Z20">
        <v>0</v>
      </c>
      <c r="AA20" t="s">
        <v>304</v>
      </c>
      <c r="AB20" t="s">
        <v>11</v>
      </c>
      <c r="AC20" t="s">
        <v>11</v>
      </c>
      <c r="AD20" t="s">
        <v>11</v>
      </c>
    </row>
    <row r="21" spans="1:30" x14ac:dyDescent="0.3">
      <c r="A21">
        <v>31014</v>
      </c>
      <c r="B21" t="s">
        <v>55</v>
      </c>
      <c r="C21" t="s">
        <v>56</v>
      </c>
      <c r="D21" t="s">
        <v>305</v>
      </c>
      <c r="E21" t="s">
        <v>306</v>
      </c>
      <c r="F21">
        <v>3</v>
      </c>
      <c r="G21" t="s">
        <v>21</v>
      </c>
      <c r="H21">
        <v>2</v>
      </c>
      <c r="I21">
        <v>0</v>
      </c>
      <c r="J21">
        <v>0</v>
      </c>
      <c r="K21">
        <v>13</v>
      </c>
      <c r="L21">
        <v>0</v>
      </c>
      <c r="M21">
        <v>0</v>
      </c>
      <c r="N21">
        <v>0</v>
      </c>
      <c r="O21" t="s">
        <v>22</v>
      </c>
      <c r="P21">
        <v>0</v>
      </c>
      <c r="Q21" t="s">
        <v>11</v>
      </c>
      <c r="T21" t="s">
        <v>11</v>
      </c>
      <c r="U21" t="s">
        <v>11</v>
      </c>
      <c r="V21" t="b">
        <v>0</v>
      </c>
      <c r="W21">
        <v>187500</v>
      </c>
      <c r="X21">
        <v>0</v>
      </c>
      <c r="Y21" t="s">
        <v>11</v>
      </c>
      <c r="Z21">
        <v>0</v>
      </c>
      <c r="AA21" t="s">
        <v>57</v>
      </c>
      <c r="AB21" t="s">
        <v>11</v>
      </c>
      <c r="AC21" t="s">
        <v>11</v>
      </c>
      <c r="AD21" t="s">
        <v>11</v>
      </c>
    </row>
    <row r="22" spans="1:30" x14ac:dyDescent="0.3">
      <c r="A22">
        <v>31015</v>
      </c>
      <c r="B22" t="s">
        <v>58</v>
      </c>
      <c r="C22" t="s">
        <v>59</v>
      </c>
      <c r="D22" t="s">
        <v>307</v>
      </c>
      <c r="E22" t="s">
        <v>308</v>
      </c>
      <c r="F22">
        <v>3</v>
      </c>
      <c r="G22" t="s">
        <v>21</v>
      </c>
      <c r="H22">
        <v>2</v>
      </c>
      <c r="I22">
        <v>0</v>
      </c>
      <c r="J22">
        <v>0</v>
      </c>
      <c r="K22">
        <v>13</v>
      </c>
      <c r="L22">
        <v>0</v>
      </c>
      <c r="M22">
        <v>0</v>
      </c>
      <c r="N22">
        <v>0</v>
      </c>
      <c r="O22" t="s">
        <v>22</v>
      </c>
      <c r="P22">
        <v>0</v>
      </c>
      <c r="Q22" t="s">
        <v>277</v>
      </c>
      <c r="R22" t="s">
        <v>278</v>
      </c>
      <c r="S22" t="s">
        <v>279</v>
      </c>
      <c r="T22" t="s">
        <v>280</v>
      </c>
      <c r="U22" t="s">
        <v>281</v>
      </c>
      <c r="V22" t="b">
        <v>0</v>
      </c>
      <c r="W22">
        <v>250000</v>
      </c>
      <c r="X22">
        <v>0</v>
      </c>
      <c r="Y22" t="s">
        <v>11</v>
      </c>
      <c r="Z22">
        <v>0</v>
      </c>
      <c r="AA22" t="s">
        <v>57</v>
      </c>
      <c r="AB22" t="s">
        <v>11</v>
      </c>
      <c r="AC22" t="s">
        <v>11</v>
      </c>
      <c r="AD22" t="s">
        <v>11</v>
      </c>
    </row>
    <row r="23" spans="1:30" x14ac:dyDescent="0.3">
      <c r="A23">
        <v>31016</v>
      </c>
      <c r="B23" t="s">
        <v>60</v>
      </c>
      <c r="C23" t="s">
        <v>61</v>
      </c>
      <c r="D23" t="s">
        <v>309</v>
      </c>
      <c r="E23" t="s">
        <v>310</v>
      </c>
      <c r="F23">
        <v>3</v>
      </c>
      <c r="G23" t="s">
        <v>21</v>
      </c>
      <c r="H23">
        <v>2</v>
      </c>
      <c r="I23">
        <v>0</v>
      </c>
      <c r="J23">
        <v>0</v>
      </c>
      <c r="K23">
        <v>6</v>
      </c>
      <c r="L23">
        <v>0</v>
      </c>
      <c r="M23">
        <v>0</v>
      </c>
      <c r="N23">
        <v>60</v>
      </c>
      <c r="O23" t="s">
        <v>22</v>
      </c>
      <c r="P23">
        <v>0</v>
      </c>
      <c r="Q23" t="s">
        <v>11</v>
      </c>
      <c r="T23" t="s">
        <v>11</v>
      </c>
      <c r="U23" t="s">
        <v>11</v>
      </c>
      <c r="V23" t="b">
        <v>0</v>
      </c>
      <c r="W23">
        <v>125000</v>
      </c>
      <c r="X23">
        <v>0</v>
      </c>
      <c r="Y23" t="s">
        <v>11</v>
      </c>
      <c r="Z23">
        <v>0</v>
      </c>
      <c r="AA23" t="s">
        <v>311</v>
      </c>
      <c r="AB23" t="s">
        <v>11</v>
      </c>
      <c r="AC23" t="s">
        <v>11</v>
      </c>
      <c r="AD23" t="s">
        <v>11</v>
      </c>
    </row>
    <row r="24" spans="1:30" x14ac:dyDescent="0.3">
      <c r="A24">
        <v>31017</v>
      </c>
      <c r="B24" t="s">
        <v>62</v>
      </c>
      <c r="C24" t="s">
        <v>63</v>
      </c>
      <c r="D24" t="s">
        <v>312</v>
      </c>
      <c r="E24" t="s">
        <v>313</v>
      </c>
      <c r="F24">
        <v>3</v>
      </c>
      <c r="G24" t="s">
        <v>21</v>
      </c>
      <c r="H24">
        <v>2</v>
      </c>
      <c r="I24">
        <v>0</v>
      </c>
      <c r="J24">
        <v>0</v>
      </c>
      <c r="K24">
        <v>7</v>
      </c>
      <c r="L24">
        <v>0</v>
      </c>
      <c r="M24">
        <v>0</v>
      </c>
      <c r="N24">
        <v>70</v>
      </c>
      <c r="O24" t="s">
        <v>22</v>
      </c>
      <c r="P24">
        <v>0</v>
      </c>
      <c r="Q24" t="s">
        <v>11</v>
      </c>
      <c r="T24" t="s">
        <v>11</v>
      </c>
      <c r="U24" t="s">
        <v>11</v>
      </c>
      <c r="V24" t="b">
        <v>0</v>
      </c>
      <c r="W24">
        <v>187500</v>
      </c>
      <c r="X24">
        <v>0</v>
      </c>
      <c r="Y24" t="s">
        <v>11</v>
      </c>
      <c r="Z24">
        <v>0</v>
      </c>
      <c r="AA24" t="s">
        <v>64</v>
      </c>
      <c r="AB24" t="s">
        <v>11</v>
      </c>
      <c r="AC24" t="s">
        <v>11</v>
      </c>
      <c r="AD24" t="s">
        <v>11</v>
      </c>
    </row>
    <row r="25" spans="1:30" x14ac:dyDescent="0.3">
      <c r="A25">
        <v>31018</v>
      </c>
      <c r="B25" t="s">
        <v>65</v>
      </c>
      <c r="C25" t="s">
        <v>66</v>
      </c>
      <c r="D25" t="s">
        <v>314</v>
      </c>
      <c r="E25" t="s">
        <v>315</v>
      </c>
      <c r="F25">
        <v>3</v>
      </c>
      <c r="G25" t="s">
        <v>21</v>
      </c>
      <c r="H25">
        <v>2</v>
      </c>
      <c r="I25">
        <v>0</v>
      </c>
      <c r="J25">
        <v>0</v>
      </c>
      <c r="K25">
        <v>7</v>
      </c>
      <c r="L25">
        <v>0</v>
      </c>
      <c r="M25">
        <v>0</v>
      </c>
      <c r="N25">
        <v>70</v>
      </c>
      <c r="O25" t="s">
        <v>22</v>
      </c>
      <c r="P25">
        <v>0</v>
      </c>
      <c r="Q25" t="s">
        <v>277</v>
      </c>
      <c r="R25" t="s">
        <v>278</v>
      </c>
      <c r="S25" t="s">
        <v>279</v>
      </c>
      <c r="T25" t="s">
        <v>280</v>
      </c>
      <c r="U25" t="s">
        <v>281</v>
      </c>
      <c r="V25" t="b">
        <v>0</v>
      </c>
      <c r="W25">
        <v>250000</v>
      </c>
      <c r="X25">
        <v>0</v>
      </c>
      <c r="Y25" t="s">
        <v>11</v>
      </c>
      <c r="Z25">
        <v>0</v>
      </c>
      <c r="AA25" t="s">
        <v>67</v>
      </c>
      <c r="AB25" t="s">
        <v>11</v>
      </c>
      <c r="AC25" t="s">
        <v>11</v>
      </c>
      <c r="AD25" t="s">
        <v>11</v>
      </c>
    </row>
    <row r="26" spans="1:30" x14ac:dyDescent="0.3">
      <c r="A26">
        <v>31019</v>
      </c>
      <c r="B26" t="s">
        <v>68</v>
      </c>
      <c r="C26" t="s">
        <v>69</v>
      </c>
      <c r="D26" t="s">
        <v>316</v>
      </c>
      <c r="E26" t="s">
        <v>317</v>
      </c>
      <c r="F26">
        <v>4</v>
      </c>
      <c r="G26" t="s">
        <v>21</v>
      </c>
      <c r="H26">
        <v>2</v>
      </c>
      <c r="I26">
        <v>0</v>
      </c>
      <c r="J26">
        <v>0</v>
      </c>
      <c r="K26">
        <v>16</v>
      </c>
      <c r="L26">
        <v>0</v>
      </c>
      <c r="M26">
        <v>0</v>
      </c>
      <c r="N26">
        <v>0</v>
      </c>
      <c r="O26" t="s">
        <v>22</v>
      </c>
      <c r="P26">
        <v>0</v>
      </c>
      <c r="Q26" t="s">
        <v>11</v>
      </c>
      <c r="T26" t="s">
        <v>11</v>
      </c>
      <c r="U26" t="s">
        <v>11</v>
      </c>
      <c r="V26" t="b">
        <v>0</v>
      </c>
      <c r="W26">
        <v>625000</v>
      </c>
      <c r="X26">
        <v>0</v>
      </c>
      <c r="Y26" t="s">
        <v>11</v>
      </c>
      <c r="Z26">
        <v>0</v>
      </c>
      <c r="AA26" t="s">
        <v>304</v>
      </c>
      <c r="AB26" t="s">
        <v>11</v>
      </c>
      <c r="AC26" t="s">
        <v>11</v>
      </c>
      <c r="AD26" t="s">
        <v>11</v>
      </c>
    </row>
    <row r="27" spans="1:30" x14ac:dyDescent="0.3">
      <c r="A27">
        <v>31020</v>
      </c>
      <c r="B27" t="s">
        <v>70</v>
      </c>
      <c r="C27" t="s">
        <v>71</v>
      </c>
      <c r="D27" t="s">
        <v>318</v>
      </c>
      <c r="E27" t="s">
        <v>319</v>
      </c>
      <c r="F27">
        <v>4</v>
      </c>
      <c r="G27" t="s">
        <v>21</v>
      </c>
      <c r="H27">
        <v>2</v>
      </c>
      <c r="I27">
        <v>0</v>
      </c>
      <c r="J27">
        <v>0</v>
      </c>
      <c r="K27">
        <v>17</v>
      </c>
      <c r="L27">
        <v>0</v>
      </c>
      <c r="M27">
        <v>0</v>
      </c>
      <c r="N27">
        <v>0</v>
      </c>
      <c r="O27" t="s">
        <v>22</v>
      </c>
      <c r="P27">
        <v>0</v>
      </c>
      <c r="Q27" t="s">
        <v>11</v>
      </c>
      <c r="T27" t="s">
        <v>11</v>
      </c>
      <c r="U27" t="s">
        <v>11</v>
      </c>
      <c r="V27" t="b">
        <v>0</v>
      </c>
      <c r="W27">
        <v>937500</v>
      </c>
      <c r="X27">
        <v>0</v>
      </c>
      <c r="Y27" t="s">
        <v>11</v>
      </c>
      <c r="Z27">
        <v>0</v>
      </c>
      <c r="AA27" t="s">
        <v>57</v>
      </c>
      <c r="AB27" t="s">
        <v>11</v>
      </c>
      <c r="AC27" t="s">
        <v>11</v>
      </c>
      <c r="AD27" t="s">
        <v>11</v>
      </c>
    </row>
    <row r="28" spans="1:30" x14ac:dyDescent="0.3">
      <c r="A28">
        <v>31021</v>
      </c>
      <c r="B28" t="s">
        <v>72</v>
      </c>
      <c r="C28" t="s">
        <v>73</v>
      </c>
      <c r="D28" t="s">
        <v>320</v>
      </c>
      <c r="E28" t="s">
        <v>321</v>
      </c>
      <c r="F28">
        <v>4</v>
      </c>
      <c r="G28" t="s">
        <v>21</v>
      </c>
      <c r="H28">
        <v>2</v>
      </c>
      <c r="I28">
        <v>0</v>
      </c>
      <c r="J28">
        <v>0</v>
      </c>
      <c r="K28">
        <v>17</v>
      </c>
      <c r="L28">
        <v>0</v>
      </c>
      <c r="M28">
        <v>0</v>
      </c>
      <c r="N28">
        <v>0</v>
      </c>
      <c r="O28" t="s">
        <v>22</v>
      </c>
      <c r="P28">
        <v>0</v>
      </c>
      <c r="Q28" t="s">
        <v>277</v>
      </c>
      <c r="R28" t="s">
        <v>278</v>
      </c>
      <c r="S28" t="s">
        <v>279</v>
      </c>
      <c r="T28" t="s">
        <v>280</v>
      </c>
      <c r="U28" t="s">
        <v>281</v>
      </c>
      <c r="V28" t="b">
        <v>0</v>
      </c>
      <c r="W28">
        <v>1250000</v>
      </c>
      <c r="X28">
        <v>0</v>
      </c>
      <c r="Y28" t="s">
        <v>11</v>
      </c>
      <c r="Z28">
        <v>0</v>
      </c>
      <c r="AA28" t="s">
        <v>57</v>
      </c>
      <c r="AB28" t="s">
        <v>11</v>
      </c>
      <c r="AC28" t="s">
        <v>11</v>
      </c>
      <c r="AD28" t="s">
        <v>11</v>
      </c>
    </row>
    <row r="29" spans="1:30" x14ac:dyDescent="0.3">
      <c r="A29">
        <v>31022</v>
      </c>
      <c r="B29" t="s">
        <v>74</v>
      </c>
      <c r="C29" t="s">
        <v>75</v>
      </c>
      <c r="D29" t="s">
        <v>322</v>
      </c>
      <c r="E29" t="s">
        <v>323</v>
      </c>
      <c r="F29">
        <v>4</v>
      </c>
      <c r="G29" t="s">
        <v>21</v>
      </c>
      <c r="H29">
        <v>2</v>
      </c>
      <c r="I29">
        <v>0</v>
      </c>
      <c r="J29">
        <v>0</v>
      </c>
      <c r="K29">
        <v>8</v>
      </c>
      <c r="L29">
        <v>0</v>
      </c>
      <c r="M29">
        <v>0</v>
      </c>
      <c r="N29">
        <v>80</v>
      </c>
      <c r="O29" t="s">
        <v>22</v>
      </c>
      <c r="P29">
        <v>0</v>
      </c>
      <c r="Q29" t="s">
        <v>11</v>
      </c>
      <c r="T29" t="s">
        <v>11</v>
      </c>
      <c r="U29" t="s">
        <v>11</v>
      </c>
      <c r="V29" t="b">
        <v>0</v>
      </c>
      <c r="W29">
        <v>625000</v>
      </c>
      <c r="X29">
        <v>0</v>
      </c>
      <c r="Y29" t="s">
        <v>11</v>
      </c>
      <c r="Z29">
        <v>0</v>
      </c>
      <c r="AA29" t="s">
        <v>311</v>
      </c>
      <c r="AB29" t="s">
        <v>11</v>
      </c>
      <c r="AC29" t="s">
        <v>11</v>
      </c>
      <c r="AD29" t="s">
        <v>11</v>
      </c>
    </row>
    <row r="30" spans="1:30" x14ac:dyDescent="0.3">
      <c r="A30">
        <v>31023</v>
      </c>
      <c r="B30" t="s">
        <v>76</v>
      </c>
      <c r="C30" t="s">
        <v>77</v>
      </c>
      <c r="D30" t="s">
        <v>324</v>
      </c>
      <c r="E30" t="s">
        <v>325</v>
      </c>
      <c r="F30">
        <v>4</v>
      </c>
      <c r="G30" t="s">
        <v>21</v>
      </c>
      <c r="H30">
        <v>2</v>
      </c>
      <c r="I30">
        <v>0</v>
      </c>
      <c r="J30">
        <v>0</v>
      </c>
      <c r="K30">
        <v>9</v>
      </c>
      <c r="L30">
        <v>0</v>
      </c>
      <c r="M30">
        <v>0</v>
      </c>
      <c r="N30">
        <v>90</v>
      </c>
      <c r="O30" t="s">
        <v>22</v>
      </c>
      <c r="P30">
        <v>0</v>
      </c>
      <c r="Q30" t="s">
        <v>11</v>
      </c>
      <c r="T30" t="s">
        <v>11</v>
      </c>
      <c r="U30" t="s">
        <v>11</v>
      </c>
      <c r="V30" t="b">
        <v>0</v>
      </c>
      <c r="W30">
        <v>937500</v>
      </c>
      <c r="X30">
        <v>0</v>
      </c>
      <c r="Y30" t="s">
        <v>11</v>
      </c>
      <c r="Z30">
        <v>0</v>
      </c>
      <c r="AA30" t="s">
        <v>64</v>
      </c>
      <c r="AB30" t="s">
        <v>11</v>
      </c>
      <c r="AC30" t="s">
        <v>11</v>
      </c>
      <c r="AD30" t="s">
        <v>11</v>
      </c>
    </row>
    <row r="31" spans="1:30" x14ac:dyDescent="0.3">
      <c r="A31">
        <v>31024</v>
      </c>
      <c r="B31" t="s">
        <v>78</v>
      </c>
      <c r="C31" t="s">
        <v>79</v>
      </c>
      <c r="D31" t="s">
        <v>326</v>
      </c>
      <c r="E31" t="s">
        <v>327</v>
      </c>
      <c r="F31">
        <v>4</v>
      </c>
      <c r="G31" t="s">
        <v>21</v>
      </c>
      <c r="H31">
        <v>2</v>
      </c>
      <c r="I31">
        <v>0</v>
      </c>
      <c r="J31">
        <v>0</v>
      </c>
      <c r="K31">
        <v>9</v>
      </c>
      <c r="L31">
        <v>0</v>
      </c>
      <c r="M31">
        <v>0</v>
      </c>
      <c r="N31">
        <v>90</v>
      </c>
      <c r="O31" t="s">
        <v>22</v>
      </c>
      <c r="P31">
        <v>0</v>
      </c>
      <c r="Q31" t="s">
        <v>277</v>
      </c>
      <c r="R31" t="s">
        <v>278</v>
      </c>
      <c r="S31" t="s">
        <v>279</v>
      </c>
      <c r="T31" t="s">
        <v>280</v>
      </c>
      <c r="U31" t="s">
        <v>281</v>
      </c>
      <c r="V31" t="b">
        <v>0</v>
      </c>
      <c r="W31">
        <v>1250000</v>
      </c>
      <c r="X31">
        <v>0</v>
      </c>
      <c r="Y31" t="s">
        <v>11</v>
      </c>
      <c r="Z31">
        <v>0</v>
      </c>
      <c r="AA31" t="s">
        <v>67</v>
      </c>
      <c r="AB31" t="s">
        <v>11</v>
      </c>
      <c r="AC31" t="s">
        <v>11</v>
      </c>
      <c r="AD31" t="s">
        <v>11</v>
      </c>
    </row>
    <row r="32" spans="1:30" x14ac:dyDescent="0.3">
      <c r="A32">
        <v>32000</v>
      </c>
      <c r="B32" t="s">
        <v>80</v>
      </c>
      <c r="C32" t="s">
        <v>81</v>
      </c>
      <c r="D32" t="s">
        <v>328</v>
      </c>
      <c r="E32" t="s">
        <v>329</v>
      </c>
      <c r="F32">
        <v>1</v>
      </c>
      <c r="G32" t="s">
        <v>21</v>
      </c>
      <c r="H32">
        <v>0</v>
      </c>
      <c r="I32">
        <v>0</v>
      </c>
      <c r="J32">
        <v>0</v>
      </c>
      <c r="K32">
        <v>0</v>
      </c>
      <c r="L32">
        <v>10</v>
      </c>
      <c r="M32">
        <v>0</v>
      </c>
      <c r="N32">
        <v>0</v>
      </c>
      <c r="O32" t="s">
        <v>22</v>
      </c>
      <c r="P32">
        <v>0</v>
      </c>
      <c r="Q32" t="s">
        <v>11</v>
      </c>
      <c r="T32" t="s">
        <v>11</v>
      </c>
      <c r="U32" t="s">
        <v>11</v>
      </c>
      <c r="V32" t="b">
        <v>0</v>
      </c>
      <c r="W32">
        <v>10</v>
      </c>
      <c r="X32">
        <v>0</v>
      </c>
      <c r="Y32" t="s">
        <v>11</v>
      </c>
      <c r="Z32">
        <v>0</v>
      </c>
      <c r="AA32" t="s">
        <v>330</v>
      </c>
      <c r="AB32" t="s">
        <v>11</v>
      </c>
      <c r="AC32" t="s">
        <v>11</v>
      </c>
      <c r="AD32" t="s">
        <v>11</v>
      </c>
    </row>
    <row r="33" spans="1:30" x14ac:dyDescent="0.3">
      <c r="A33">
        <v>32001</v>
      </c>
      <c r="B33" t="s">
        <v>82</v>
      </c>
      <c r="C33" t="s">
        <v>83</v>
      </c>
      <c r="D33" t="s">
        <v>331</v>
      </c>
      <c r="E33" t="s">
        <v>332</v>
      </c>
      <c r="F33">
        <v>1</v>
      </c>
      <c r="G33" t="s">
        <v>21</v>
      </c>
      <c r="H33">
        <v>0</v>
      </c>
      <c r="I33">
        <v>0</v>
      </c>
      <c r="J33">
        <v>0</v>
      </c>
      <c r="K33">
        <v>0</v>
      </c>
      <c r="L33">
        <v>15</v>
      </c>
      <c r="M33">
        <v>0</v>
      </c>
      <c r="N33">
        <v>0</v>
      </c>
      <c r="O33" t="s">
        <v>22</v>
      </c>
      <c r="P33">
        <v>0</v>
      </c>
      <c r="Q33" t="s">
        <v>11</v>
      </c>
      <c r="T33" t="s">
        <v>11</v>
      </c>
      <c r="U33" t="s">
        <v>11</v>
      </c>
      <c r="V33" t="b">
        <v>0</v>
      </c>
      <c r="W33">
        <v>6250</v>
      </c>
      <c r="X33">
        <v>0</v>
      </c>
      <c r="Y33" t="s">
        <v>11</v>
      </c>
      <c r="Z33">
        <v>0</v>
      </c>
      <c r="AA33" t="s">
        <v>84</v>
      </c>
      <c r="AB33" t="s">
        <v>11</v>
      </c>
      <c r="AC33" t="s">
        <v>11</v>
      </c>
      <c r="AD33" t="s">
        <v>11</v>
      </c>
    </row>
    <row r="34" spans="1:30" x14ac:dyDescent="0.3">
      <c r="A34">
        <v>32002</v>
      </c>
      <c r="B34" t="s">
        <v>85</v>
      </c>
      <c r="C34" t="s">
        <v>86</v>
      </c>
      <c r="D34" t="s">
        <v>333</v>
      </c>
      <c r="E34" t="s">
        <v>334</v>
      </c>
      <c r="F34">
        <v>1</v>
      </c>
      <c r="G34" t="s">
        <v>21</v>
      </c>
      <c r="H34">
        <v>0</v>
      </c>
      <c r="I34">
        <v>0</v>
      </c>
      <c r="J34">
        <v>0</v>
      </c>
      <c r="K34">
        <v>0</v>
      </c>
      <c r="L34">
        <v>20</v>
      </c>
      <c r="M34">
        <v>0</v>
      </c>
      <c r="N34">
        <v>0</v>
      </c>
      <c r="O34" t="s">
        <v>22</v>
      </c>
      <c r="P34">
        <v>0</v>
      </c>
      <c r="Q34" t="s">
        <v>11</v>
      </c>
      <c r="T34" t="s">
        <v>11</v>
      </c>
      <c r="U34" t="s">
        <v>11</v>
      </c>
      <c r="V34" t="b">
        <v>0</v>
      </c>
      <c r="W34">
        <v>9370</v>
      </c>
      <c r="X34">
        <v>0</v>
      </c>
      <c r="Y34" t="s">
        <v>11</v>
      </c>
      <c r="Z34">
        <v>0</v>
      </c>
      <c r="AA34" t="s">
        <v>87</v>
      </c>
      <c r="AB34" t="s">
        <v>11</v>
      </c>
      <c r="AC34" t="s">
        <v>11</v>
      </c>
      <c r="AD34" t="s">
        <v>11</v>
      </c>
    </row>
    <row r="35" spans="1:30" x14ac:dyDescent="0.3">
      <c r="A35">
        <v>32003</v>
      </c>
      <c r="B35" t="s">
        <v>88</v>
      </c>
      <c r="C35" t="s">
        <v>89</v>
      </c>
      <c r="D35" t="s">
        <v>335</v>
      </c>
      <c r="E35" t="s">
        <v>336</v>
      </c>
      <c r="F35">
        <v>1</v>
      </c>
      <c r="G35" t="s">
        <v>21</v>
      </c>
      <c r="H35">
        <v>0</v>
      </c>
      <c r="I35">
        <v>0</v>
      </c>
      <c r="J35">
        <v>0</v>
      </c>
      <c r="K35">
        <v>0</v>
      </c>
      <c r="L35">
        <v>22</v>
      </c>
      <c r="M35">
        <v>0</v>
      </c>
      <c r="N35">
        <v>0</v>
      </c>
      <c r="O35" t="s">
        <v>22</v>
      </c>
      <c r="P35">
        <v>0</v>
      </c>
      <c r="Q35" t="s">
        <v>277</v>
      </c>
      <c r="R35" t="s">
        <v>278</v>
      </c>
      <c r="S35" t="s">
        <v>279</v>
      </c>
      <c r="T35" t="s">
        <v>280</v>
      </c>
      <c r="U35" t="s">
        <v>281</v>
      </c>
      <c r="V35" t="b">
        <v>0</v>
      </c>
      <c r="W35">
        <v>12500</v>
      </c>
      <c r="X35">
        <v>0</v>
      </c>
      <c r="Y35" t="s">
        <v>11</v>
      </c>
      <c r="Z35">
        <v>0</v>
      </c>
      <c r="AA35" t="s">
        <v>90</v>
      </c>
      <c r="AB35" t="s">
        <v>11</v>
      </c>
      <c r="AC35" t="s">
        <v>11</v>
      </c>
      <c r="AD35" t="s">
        <v>11</v>
      </c>
    </row>
    <row r="36" spans="1:30" x14ac:dyDescent="0.3">
      <c r="A36">
        <v>32004</v>
      </c>
      <c r="B36" t="s">
        <v>91</v>
      </c>
      <c r="C36" t="s">
        <v>92</v>
      </c>
      <c r="D36" t="s">
        <v>337</v>
      </c>
      <c r="E36" t="s">
        <v>338</v>
      </c>
      <c r="F36">
        <v>2</v>
      </c>
      <c r="G36" t="s">
        <v>21</v>
      </c>
      <c r="H36">
        <v>0</v>
      </c>
      <c r="I36">
        <v>0</v>
      </c>
      <c r="J36">
        <v>0</v>
      </c>
      <c r="K36">
        <v>0</v>
      </c>
      <c r="L36">
        <v>25</v>
      </c>
      <c r="M36">
        <v>0</v>
      </c>
      <c r="N36">
        <v>0</v>
      </c>
      <c r="O36" t="s">
        <v>22</v>
      </c>
      <c r="P36">
        <v>0</v>
      </c>
      <c r="Q36" t="s">
        <v>11</v>
      </c>
      <c r="T36" t="s">
        <v>11</v>
      </c>
      <c r="U36" t="s">
        <v>11</v>
      </c>
      <c r="V36" t="b">
        <v>0</v>
      </c>
      <c r="W36">
        <v>31250</v>
      </c>
      <c r="X36">
        <v>0</v>
      </c>
      <c r="Y36" t="s">
        <v>11</v>
      </c>
      <c r="Z36">
        <v>0</v>
      </c>
      <c r="AA36" t="s">
        <v>84</v>
      </c>
      <c r="AB36" t="s">
        <v>11</v>
      </c>
      <c r="AC36" t="s">
        <v>11</v>
      </c>
      <c r="AD36" t="s">
        <v>11</v>
      </c>
    </row>
    <row r="37" spans="1:30" x14ac:dyDescent="0.3">
      <c r="A37">
        <v>32005</v>
      </c>
      <c r="B37" t="s">
        <v>93</v>
      </c>
      <c r="C37" t="s">
        <v>94</v>
      </c>
      <c r="D37" t="s">
        <v>339</v>
      </c>
      <c r="E37" t="s">
        <v>340</v>
      </c>
      <c r="F37">
        <v>2</v>
      </c>
      <c r="G37" t="s">
        <v>21</v>
      </c>
      <c r="H37">
        <v>0</v>
      </c>
      <c r="I37">
        <v>0</v>
      </c>
      <c r="J37">
        <v>0</v>
      </c>
      <c r="K37">
        <v>0</v>
      </c>
      <c r="L37">
        <v>30</v>
      </c>
      <c r="M37">
        <v>0</v>
      </c>
      <c r="N37">
        <v>0</v>
      </c>
      <c r="O37" t="s">
        <v>22</v>
      </c>
      <c r="P37">
        <v>0</v>
      </c>
      <c r="Q37" t="s">
        <v>11</v>
      </c>
      <c r="T37" t="s">
        <v>11</v>
      </c>
      <c r="U37" t="s">
        <v>11</v>
      </c>
      <c r="V37" t="b">
        <v>0</v>
      </c>
      <c r="W37">
        <v>46850</v>
      </c>
      <c r="X37">
        <v>0</v>
      </c>
      <c r="Y37" t="s">
        <v>11</v>
      </c>
      <c r="Z37">
        <v>0</v>
      </c>
      <c r="AA37" t="s">
        <v>87</v>
      </c>
      <c r="AB37" t="s">
        <v>11</v>
      </c>
      <c r="AC37" t="s">
        <v>11</v>
      </c>
      <c r="AD37" t="s">
        <v>11</v>
      </c>
    </row>
    <row r="38" spans="1:30" x14ac:dyDescent="0.3">
      <c r="A38">
        <v>32006</v>
      </c>
      <c r="B38" t="s">
        <v>95</v>
      </c>
      <c r="C38" t="s">
        <v>96</v>
      </c>
      <c r="D38" t="s">
        <v>341</v>
      </c>
      <c r="E38" t="s">
        <v>342</v>
      </c>
      <c r="F38">
        <v>2</v>
      </c>
      <c r="G38" t="s">
        <v>21</v>
      </c>
      <c r="H38">
        <v>0</v>
      </c>
      <c r="I38">
        <v>0</v>
      </c>
      <c r="J38">
        <v>0</v>
      </c>
      <c r="K38">
        <v>0</v>
      </c>
      <c r="L38">
        <v>32</v>
      </c>
      <c r="M38">
        <v>0</v>
      </c>
      <c r="N38">
        <v>0</v>
      </c>
      <c r="O38" t="s">
        <v>22</v>
      </c>
      <c r="P38">
        <v>0</v>
      </c>
      <c r="Q38" t="s">
        <v>277</v>
      </c>
      <c r="R38" t="s">
        <v>278</v>
      </c>
      <c r="S38" t="s">
        <v>279</v>
      </c>
      <c r="T38" t="s">
        <v>280</v>
      </c>
      <c r="U38" t="s">
        <v>281</v>
      </c>
      <c r="V38" t="b">
        <v>0</v>
      </c>
      <c r="W38">
        <v>62500</v>
      </c>
      <c r="X38">
        <v>0</v>
      </c>
      <c r="Y38" t="s">
        <v>11</v>
      </c>
      <c r="Z38">
        <v>0</v>
      </c>
      <c r="AA38" t="s">
        <v>90</v>
      </c>
      <c r="AB38" t="s">
        <v>11</v>
      </c>
      <c r="AC38" t="s">
        <v>11</v>
      </c>
      <c r="AD38" t="s">
        <v>11</v>
      </c>
    </row>
    <row r="39" spans="1:30" x14ac:dyDescent="0.3">
      <c r="A39">
        <v>32007</v>
      </c>
      <c r="B39" t="s">
        <v>97</v>
      </c>
      <c r="C39" t="s">
        <v>98</v>
      </c>
      <c r="D39" t="s">
        <v>343</v>
      </c>
      <c r="E39" t="s">
        <v>344</v>
      </c>
      <c r="F39">
        <v>3</v>
      </c>
      <c r="G39" t="s">
        <v>21</v>
      </c>
      <c r="H39">
        <v>0</v>
      </c>
      <c r="I39">
        <v>0</v>
      </c>
      <c r="J39">
        <v>0</v>
      </c>
      <c r="K39">
        <v>0</v>
      </c>
      <c r="L39">
        <v>35</v>
      </c>
      <c r="M39">
        <v>0</v>
      </c>
      <c r="N39">
        <v>0</v>
      </c>
      <c r="O39" t="s">
        <v>22</v>
      </c>
      <c r="P39">
        <v>0</v>
      </c>
      <c r="Q39" t="s">
        <v>11</v>
      </c>
      <c r="T39" t="s">
        <v>11</v>
      </c>
      <c r="U39" t="s">
        <v>11</v>
      </c>
      <c r="V39" t="b">
        <v>0</v>
      </c>
      <c r="W39">
        <v>156250</v>
      </c>
      <c r="X39">
        <v>0</v>
      </c>
      <c r="Y39" t="s">
        <v>11</v>
      </c>
      <c r="Z39">
        <v>0</v>
      </c>
      <c r="AA39" t="s">
        <v>84</v>
      </c>
      <c r="AB39" t="s">
        <v>11</v>
      </c>
      <c r="AC39" t="s">
        <v>11</v>
      </c>
      <c r="AD39" t="s">
        <v>11</v>
      </c>
    </row>
    <row r="40" spans="1:30" x14ac:dyDescent="0.3">
      <c r="A40">
        <v>32008</v>
      </c>
      <c r="B40" t="s">
        <v>99</v>
      </c>
      <c r="C40" t="s">
        <v>100</v>
      </c>
      <c r="D40" t="s">
        <v>345</v>
      </c>
      <c r="E40" t="s">
        <v>346</v>
      </c>
      <c r="F40">
        <v>3</v>
      </c>
      <c r="G40" t="s">
        <v>21</v>
      </c>
      <c r="H40">
        <v>0</v>
      </c>
      <c r="I40">
        <v>0</v>
      </c>
      <c r="J40">
        <v>0</v>
      </c>
      <c r="K40">
        <v>0</v>
      </c>
      <c r="L40">
        <v>40</v>
      </c>
      <c r="M40">
        <v>0</v>
      </c>
      <c r="N40">
        <v>0</v>
      </c>
      <c r="O40" t="s">
        <v>22</v>
      </c>
      <c r="P40">
        <v>0</v>
      </c>
      <c r="Q40" t="s">
        <v>11</v>
      </c>
      <c r="T40" t="s">
        <v>11</v>
      </c>
      <c r="U40" t="s">
        <v>11</v>
      </c>
      <c r="V40" t="b">
        <v>0</v>
      </c>
      <c r="W40">
        <v>234250</v>
      </c>
      <c r="X40">
        <v>0</v>
      </c>
      <c r="Y40" t="s">
        <v>11</v>
      </c>
      <c r="Z40">
        <v>0</v>
      </c>
      <c r="AA40" t="s">
        <v>87</v>
      </c>
      <c r="AB40" t="s">
        <v>11</v>
      </c>
      <c r="AC40" t="s">
        <v>11</v>
      </c>
      <c r="AD40" t="s">
        <v>11</v>
      </c>
    </row>
    <row r="41" spans="1:30" x14ac:dyDescent="0.3">
      <c r="A41">
        <v>32009</v>
      </c>
      <c r="B41" t="s">
        <v>101</v>
      </c>
      <c r="C41" t="s">
        <v>102</v>
      </c>
      <c r="D41" t="s">
        <v>347</v>
      </c>
      <c r="E41" t="s">
        <v>348</v>
      </c>
      <c r="F41">
        <v>3</v>
      </c>
      <c r="G41" t="s">
        <v>21</v>
      </c>
      <c r="H41">
        <v>0</v>
      </c>
      <c r="I41">
        <v>0</v>
      </c>
      <c r="J41">
        <v>0</v>
      </c>
      <c r="K41">
        <v>0</v>
      </c>
      <c r="L41">
        <v>42</v>
      </c>
      <c r="M41">
        <v>0</v>
      </c>
      <c r="N41">
        <v>0</v>
      </c>
      <c r="O41" t="s">
        <v>22</v>
      </c>
      <c r="P41">
        <v>0</v>
      </c>
      <c r="Q41" t="s">
        <v>277</v>
      </c>
      <c r="R41" t="s">
        <v>278</v>
      </c>
      <c r="S41" t="s">
        <v>279</v>
      </c>
      <c r="T41" t="s">
        <v>280</v>
      </c>
      <c r="U41" t="s">
        <v>281</v>
      </c>
      <c r="V41" t="b">
        <v>0</v>
      </c>
      <c r="W41">
        <v>312500</v>
      </c>
      <c r="X41">
        <v>0</v>
      </c>
      <c r="Y41" t="s">
        <v>11</v>
      </c>
      <c r="Z41">
        <v>0</v>
      </c>
      <c r="AA41" t="s">
        <v>90</v>
      </c>
      <c r="AB41" t="s">
        <v>11</v>
      </c>
      <c r="AC41" t="s">
        <v>11</v>
      </c>
      <c r="AD41" t="s">
        <v>11</v>
      </c>
    </row>
    <row r="42" spans="1:30" x14ac:dyDescent="0.3">
      <c r="A42">
        <v>32010</v>
      </c>
      <c r="B42" t="s">
        <v>103</v>
      </c>
      <c r="C42" t="s">
        <v>104</v>
      </c>
      <c r="D42" t="s">
        <v>349</v>
      </c>
      <c r="E42" t="s">
        <v>350</v>
      </c>
      <c r="F42">
        <v>4</v>
      </c>
      <c r="G42" t="s">
        <v>21</v>
      </c>
      <c r="H42">
        <v>0</v>
      </c>
      <c r="I42">
        <v>0</v>
      </c>
      <c r="J42">
        <v>0</v>
      </c>
      <c r="K42">
        <v>0</v>
      </c>
      <c r="L42">
        <v>45</v>
      </c>
      <c r="M42">
        <v>0</v>
      </c>
      <c r="N42">
        <v>0</v>
      </c>
      <c r="O42" t="s">
        <v>22</v>
      </c>
      <c r="P42">
        <v>0</v>
      </c>
      <c r="Q42" t="s">
        <v>11</v>
      </c>
      <c r="T42" t="s">
        <v>11</v>
      </c>
      <c r="U42" t="s">
        <v>11</v>
      </c>
      <c r="V42" t="b">
        <v>0</v>
      </c>
      <c r="W42">
        <v>781250</v>
      </c>
      <c r="X42">
        <v>0</v>
      </c>
      <c r="Y42" t="s">
        <v>11</v>
      </c>
      <c r="Z42">
        <v>0</v>
      </c>
      <c r="AA42" t="s">
        <v>84</v>
      </c>
      <c r="AB42" t="s">
        <v>11</v>
      </c>
      <c r="AC42" t="s">
        <v>11</v>
      </c>
      <c r="AD42" t="s">
        <v>11</v>
      </c>
    </row>
    <row r="43" spans="1:30" x14ac:dyDescent="0.3">
      <c r="A43">
        <v>32011</v>
      </c>
      <c r="B43" t="s">
        <v>105</v>
      </c>
      <c r="C43" t="s">
        <v>106</v>
      </c>
      <c r="D43" t="s">
        <v>351</v>
      </c>
      <c r="E43" t="s">
        <v>352</v>
      </c>
      <c r="F43">
        <v>4</v>
      </c>
      <c r="G43" t="s">
        <v>21</v>
      </c>
      <c r="H43">
        <v>0</v>
      </c>
      <c r="I43">
        <v>0</v>
      </c>
      <c r="J43">
        <v>0</v>
      </c>
      <c r="K43">
        <v>0</v>
      </c>
      <c r="L43">
        <v>50</v>
      </c>
      <c r="M43">
        <v>0</v>
      </c>
      <c r="N43">
        <v>0</v>
      </c>
      <c r="O43" t="s">
        <v>22</v>
      </c>
      <c r="P43">
        <v>0</v>
      </c>
      <c r="Q43" t="s">
        <v>11</v>
      </c>
      <c r="T43" t="s">
        <v>11</v>
      </c>
      <c r="U43" t="s">
        <v>11</v>
      </c>
      <c r="V43" t="b">
        <v>0</v>
      </c>
      <c r="W43">
        <v>1171250</v>
      </c>
      <c r="X43">
        <v>0</v>
      </c>
      <c r="Y43" t="s">
        <v>11</v>
      </c>
      <c r="Z43">
        <v>0</v>
      </c>
      <c r="AA43" t="s">
        <v>87</v>
      </c>
      <c r="AB43" t="s">
        <v>11</v>
      </c>
      <c r="AC43" t="s">
        <v>11</v>
      </c>
      <c r="AD43" t="s">
        <v>11</v>
      </c>
    </row>
    <row r="44" spans="1:30" x14ac:dyDescent="0.3">
      <c r="A44">
        <v>32012</v>
      </c>
      <c r="B44" t="s">
        <v>107</v>
      </c>
      <c r="C44" t="s">
        <v>108</v>
      </c>
      <c r="D44" t="s">
        <v>353</v>
      </c>
      <c r="E44" t="s">
        <v>354</v>
      </c>
      <c r="F44">
        <v>4</v>
      </c>
      <c r="G44" t="s">
        <v>21</v>
      </c>
      <c r="H44">
        <v>0</v>
      </c>
      <c r="I44">
        <v>0</v>
      </c>
      <c r="J44">
        <v>0</v>
      </c>
      <c r="K44">
        <v>0</v>
      </c>
      <c r="L44">
        <v>52</v>
      </c>
      <c r="M44">
        <v>0</v>
      </c>
      <c r="N44">
        <v>0</v>
      </c>
      <c r="O44" t="s">
        <v>22</v>
      </c>
      <c r="P44">
        <v>0</v>
      </c>
      <c r="Q44" t="s">
        <v>277</v>
      </c>
      <c r="R44" t="s">
        <v>278</v>
      </c>
      <c r="S44" t="s">
        <v>279</v>
      </c>
      <c r="T44" t="s">
        <v>280</v>
      </c>
      <c r="U44" t="s">
        <v>281</v>
      </c>
      <c r="V44" t="b">
        <v>0</v>
      </c>
      <c r="W44">
        <v>1562500</v>
      </c>
      <c r="X44">
        <v>0</v>
      </c>
      <c r="Y44" t="s">
        <v>11</v>
      </c>
      <c r="Z44">
        <v>0</v>
      </c>
      <c r="AA44" t="s">
        <v>90</v>
      </c>
      <c r="AB44" t="s">
        <v>11</v>
      </c>
      <c r="AC44" t="s">
        <v>11</v>
      </c>
      <c r="AD44" t="s">
        <v>11</v>
      </c>
    </row>
    <row r="45" spans="1:30" x14ac:dyDescent="0.3">
      <c r="A45">
        <v>33000</v>
      </c>
      <c r="B45" t="s">
        <v>109</v>
      </c>
      <c r="C45" t="s">
        <v>110</v>
      </c>
      <c r="D45" t="s">
        <v>355</v>
      </c>
      <c r="E45" t="s">
        <v>356</v>
      </c>
      <c r="F45">
        <v>1</v>
      </c>
      <c r="G45" t="s">
        <v>21</v>
      </c>
      <c r="H45">
        <v>3</v>
      </c>
      <c r="I45">
        <v>0</v>
      </c>
      <c r="J45">
        <v>0</v>
      </c>
      <c r="K45">
        <v>1</v>
      </c>
      <c r="L45">
        <v>0</v>
      </c>
      <c r="M45">
        <v>5</v>
      </c>
      <c r="N45">
        <v>0</v>
      </c>
      <c r="O45" t="s">
        <v>22</v>
      </c>
      <c r="P45">
        <v>0</v>
      </c>
      <c r="Q45" t="s">
        <v>11</v>
      </c>
      <c r="T45" t="s">
        <v>11</v>
      </c>
      <c r="U45" t="s">
        <v>11</v>
      </c>
      <c r="V45" t="b">
        <v>0</v>
      </c>
      <c r="W45">
        <v>10</v>
      </c>
      <c r="X45">
        <v>0</v>
      </c>
      <c r="Y45" t="s">
        <v>11</v>
      </c>
      <c r="Z45">
        <v>0</v>
      </c>
      <c r="AA45" t="s">
        <v>357</v>
      </c>
      <c r="AB45" t="s">
        <v>11</v>
      </c>
      <c r="AC45" t="s">
        <v>11</v>
      </c>
      <c r="AD45" t="s">
        <v>11</v>
      </c>
    </row>
    <row r="46" spans="1:30" x14ac:dyDescent="0.3">
      <c r="A46">
        <v>33001</v>
      </c>
      <c r="B46" t="s">
        <v>111</v>
      </c>
      <c r="C46" t="s">
        <v>112</v>
      </c>
      <c r="D46" t="s">
        <v>358</v>
      </c>
      <c r="E46" t="s">
        <v>359</v>
      </c>
      <c r="F46">
        <v>1</v>
      </c>
      <c r="G46" t="s">
        <v>21</v>
      </c>
      <c r="H46">
        <v>3</v>
      </c>
      <c r="I46">
        <v>0</v>
      </c>
      <c r="J46">
        <v>0</v>
      </c>
      <c r="K46">
        <v>1</v>
      </c>
      <c r="L46">
        <v>0</v>
      </c>
      <c r="M46">
        <v>10</v>
      </c>
      <c r="N46">
        <v>0</v>
      </c>
      <c r="O46" t="s">
        <v>22</v>
      </c>
      <c r="P46">
        <v>0</v>
      </c>
      <c r="Q46" t="s">
        <v>11</v>
      </c>
      <c r="T46" t="s">
        <v>11</v>
      </c>
      <c r="U46" t="s">
        <v>11</v>
      </c>
      <c r="V46" t="b">
        <v>0</v>
      </c>
      <c r="W46">
        <v>3750</v>
      </c>
      <c r="X46">
        <v>0</v>
      </c>
      <c r="Y46" t="s">
        <v>11</v>
      </c>
      <c r="Z46">
        <v>0</v>
      </c>
      <c r="AA46" t="s">
        <v>113</v>
      </c>
      <c r="AB46" t="s">
        <v>11</v>
      </c>
      <c r="AC46" t="s">
        <v>11</v>
      </c>
      <c r="AD46" t="s">
        <v>11</v>
      </c>
    </row>
    <row r="47" spans="1:30" x14ac:dyDescent="0.3">
      <c r="A47">
        <v>33002</v>
      </c>
      <c r="B47" t="s">
        <v>114</v>
      </c>
      <c r="C47" t="s">
        <v>115</v>
      </c>
      <c r="D47" t="s">
        <v>360</v>
      </c>
      <c r="E47" t="s">
        <v>361</v>
      </c>
      <c r="F47">
        <v>1</v>
      </c>
      <c r="G47" t="s">
        <v>21</v>
      </c>
      <c r="H47">
        <v>3</v>
      </c>
      <c r="I47">
        <v>0</v>
      </c>
      <c r="J47">
        <v>0</v>
      </c>
      <c r="K47">
        <v>1</v>
      </c>
      <c r="L47">
        <v>0</v>
      </c>
      <c r="M47">
        <v>12</v>
      </c>
      <c r="N47">
        <v>0</v>
      </c>
      <c r="O47" t="s">
        <v>22</v>
      </c>
      <c r="P47">
        <v>0</v>
      </c>
      <c r="Q47" t="s">
        <v>11</v>
      </c>
      <c r="T47" t="s">
        <v>11</v>
      </c>
      <c r="U47" t="s">
        <v>11</v>
      </c>
      <c r="V47" t="b">
        <v>0</v>
      </c>
      <c r="W47">
        <v>5630</v>
      </c>
      <c r="X47">
        <v>0</v>
      </c>
      <c r="Y47" t="s">
        <v>11</v>
      </c>
      <c r="Z47">
        <v>0</v>
      </c>
      <c r="AA47" t="s">
        <v>116</v>
      </c>
      <c r="AB47" t="s">
        <v>11</v>
      </c>
      <c r="AC47" t="s">
        <v>11</v>
      </c>
      <c r="AD47" t="s">
        <v>11</v>
      </c>
    </row>
    <row r="48" spans="1:30" x14ac:dyDescent="0.3">
      <c r="A48">
        <v>33003</v>
      </c>
      <c r="B48" t="s">
        <v>117</v>
      </c>
      <c r="C48" t="s">
        <v>118</v>
      </c>
      <c r="D48" t="s">
        <v>362</v>
      </c>
      <c r="E48" t="s">
        <v>363</v>
      </c>
      <c r="F48">
        <v>1</v>
      </c>
      <c r="G48" t="s">
        <v>21</v>
      </c>
      <c r="H48">
        <v>3</v>
      </c>
      <c r="I48">
        <v>0</v>
      </c>
      <c r="J48">
        <v>0</v>
      </c>
      <c r="K48">
        <v>1</v>
      </c>
      <c r="L48">
        <v>0</v>
      </c>
      <c r="M48">
        <v>13</v>
      </c>
      <c r="N48">
        <v>0</v>
      </c>
      <c r="O48" t="s">
        <v>22</v>
      </c>
      <c r="P48">
        <v>0</v>
      </c>
      <c r="Q48" t="s">
        <v>277</v>
      </c>
      <c r="R48" t="s">
        <v>278</v>
      </c>
      <c r="S48" t="s">
        <v>279</v>
      </c>
      <c r="T48" t="s">
        <v>280</v>
      </c>
      <c r="U48" t="s">
        <v>281</v>
      </c>
      <c r="V48" t="b">
        <v>0</v>
      </c>
      <c r="W48">
        <v>7500</v>
      </c>
      <c r="X48">
        <v>0</v>
      </c>
      <c r="Y48" t="s">
        <v>11</v>
      </c>
      <c r="Z48">
        <v>0</v>
      </c>
      <c r="AA48" t="s">
        <v>119</v>
      </c>
      <c r="AB48" t="s">
        <v>11</v>
      </c>
      <c r="AC48" t="s">
        <v>11</v>
      </c>
      <c r="AD48" t="s">
        <v>11</v>
      </c>
    </row>
    <row r="49" spans="1:30" x14ac:dyDescent="0.3">
      <c r="A49">
        <v>33004</v>
      </c>
      <c r="B49" t="s">
        <v>120</v>
      </c>
      <c r="C49" t="s">
        <v>121</v>
      </c>
      <c r="D49" t="s">
        <v>364</v>
      </c>
      <c r="E49" t="s">
        <v>365</v>
      </c>
      <c r="F49">
        <v>2</v>
      </c>
      <c r="G49" t="s">
        <v>21</v>
      </c>
      <c r="H49">
        <v>3</v>
      </c>
      <c r="I49">
        <v>0</v>
      </c>
      <c r="J49">
        <v>0</v>
      </c>
      <c r="K49">
        <v>3</v>
      </c>
      <c r="L49">
        <v>0</v>
      </c>
      <c r="M49">
        <v>15</v>
      </c>
      <c r="N49">
        <v>0</v>
      </c>
      <c r="O49" t="s">
        <v>22</v>
      </c>
      <c r="P49">
        <v>0</v>
      </c>
      <c r="Q49" t="s">
        <v>11</v>
      </c>
      <c r="T49" t="s">
        <v>11</v>
      </c>
      <c r="U49" t="s">
        <v>11</v>
      </c>
      <c r="V49" t="b">
        <v>0</v>
      </c>
      <c r="W49">
        <v>18750</v>
      </c>
      <c r="X49">
        <v>0</v>
      </c>
      <c r="Y49" t="s">
        <v>11</v>
      </c>
      <c r="Z49">
        <v>0</v>
      </c>
      <c r="AA49" t="s">
        <v>113</v>
      </c>
      <c r="AB49" t="s">
        <v>11</v>
      </c>
      <c r="AC49" t="s">
        <v>11</v>
      </c>
      <c r="AD49" t="s">
        <v>11</v>
      </c>
    </row>
    <row r="50" spans="1:30" x14ac:dyDescent="0.3">
      <c r="A50">
        <v>33005</v>
      </c>
      <c r="B50" t="s">
        <v>122</v>
      </c>
      <c r="C50" t="s">
        <v>123</v>
      </c>
      <c r="D50" t="s">
        <v>366</v>
      </c>
      <c r="E50" t="s">
        <v>367</v>
      </c>
      <c r="F50">
        <v>2</v>
      </c>
      <c r="G50" t="s">
        <v>21</v>
      </c>
      <c r="H50">
        <v>3</v>
      </c>
      <c r="I50">
        <v>0</v>
      </c>
      <c r="J50">
        <v>0</v>
      </c>
      <c r="K50">
        <v>3</v>
      </c>
      <c r="L50">
        <v>0</v>
      </c>
      <c r="M50">
        <v>17</v>
      </c>
      <c r="N50">
        <v>0</v>
      </c>
      <c r="O50" t="s">
        <v>22</v>
      </c>
      <c r="P50">
        <v>0</v>
      </c>
      <c r="Q50" t="s">
        <v>11</v>
      </c>
      <c r="T50" t="s">
        <v>11</v>
      </c>
      <c r="U50" t="s">
        <v>11</v>
      </c>
      <c r="V50" t="b">
        <v>0</v>
      </c>
      <c r="W50">
        <v>28130</v>
      </c>
      <c r="X50">
        <v>0</v>
      </c>
      <c r="Y50" t="s">
        <v>11</v>
      </c>
      <c r="Z50">
        <v>0</v>
      </c>
      <c r="AA50" t="s">
        <v>116</v>
      </c>
      <c r="AB50" t="s">
        <v>11</v>
      </c>
      <c r="AC50" t="s">
        <v>11</v>
      </c>
      <c r="AD50" t="s">
        <v>11</v>
      </c>
    </row>
    <row r="51" spans="1:30" x14ac:dyDescent="0.3">
      <c r="A51">
        <v>33006</v>
      </c>
      <c r="B51" t="s">
        <v>124</v>
      </c>
      <c r="C51" t="s">
        <v>125</v>
      </c>
      <c r="D51" t="s">
        <v>368</v>
      </c>
      <c r="E51" t="s">
        <v>369</v>
      </c>
      <c r="F51">
        <v>2</v>
      </c>
      <c r="G51" t="s">
        <v>21</v>
      </c>
      <c r="H51">
        <v>3</v>
      </c>
      <c r="I51">
        <v>0</v>
      </c>
      <c r="J51">
        <v>0</v>
      </c>
      <c r="K51">
        <v>3</v>
      </c>
      <c r="L51">
        <v>0</v>
      </c>
      <c r="M51">
        <v>18</v>
      </c>
      <c r="N51">
        <v>0</v>
      </c>
      <c r="O51" t="s">
        <v>22</v>
      </c>
      <c r="P51">
        <v>0</v>
      </c>
      <c r="Q51" t="s">
        <v>11</v>
      </c>
      <c r="T51" t="s">
        <v>11</v>
      </c>
      <c r="U51" t="s">
        <v>11</v>
      </c>
      <c r="V51" t="b">
        <v>0</v>
      </c>
      <c r="W51">
        <v>37500</v>
      </c>
      <c r="X51">
        <v>0</v>
      </c>
      <c r="Y51" t="s">
        <v>11</v>
      </c>
      <c r="Z51">
        <v>0</v>
      </c>
      <c r="AA51" t="s">
        <v>119</v>
      </c>
      <c r="AB51" t="s">
        <v>11</v>
      </c>
      <c r="AC51" t="s">
        <v>11</v>
      </c>
      <c r="AD51" t="s">
        <v>11</v>
      </c>
    </row>
    <row r="52" spans="1:30" x14ac:dyDescent="0.3">
      <c r="A52">
        <v>33007</v>
      </c>
      <c r="B52" t="s">
        <v>126</v>
      </c>
      <c r="C52" t="s">
        <v>127</v>
      </c>
      <c r="D52" t="s">
        <v>370</v>
      </c>
      <c r="E52" t="s">
        <v>371</v>
      </c>
      <c r="F52">
        <v>3</v>
      </c>
      <c r="G52" t="s">
        <v>21</v>
      </c>
      <c r="H52">
        <v>3</v>
      </c>
      <c r="I52">
        <v>0</v>
      </c>
      <c r="J52">
        <v>0</v>
      </c>
      <c r="K52">
        <v>5</v>
      </c>
      <c r="L52">
        <v>0</v>
      </c>
      <c r="M52">
        <v>20</v>
      </c>
      <c r="N52">
        <v>0</v>
      </c>
      <c r="O52" t="s">
        <v>22</v>
      </c>
      <c r="P52">
        <v>0</v>
      </c>
      <c r="Q52" t="s">
        <v>277</v>
      </c>
      <c r="R52" t="s">
        <v>278</v>
      </c>
      <c r="S52" t="s">
        <v>279</v>
      </c>
      <c r="T52" t="s">
        <v>280</v>
      </c>
      <c r="U52" t="s">
        <v>281</v>
      </c>
      <c r="V52" t="b">
        <v>0</v>
      </c>
      <c r="W52">
        <v>93750</v>
      </c>
      <c r="X52">
        <v>0</v>
      </c>
      <c r="Y52" t="s">
        <v>11</v>
      </c>
      <c r="Z52">
        <v>0</v>
      </c>
      <c r="AA52" t="s">
        <v>113</v>
      </c>
      <c r="AB52" t="s">
        <v>11</v>
      </c>
      <c r="AC52" t="s">
        <v>11</v>
      </c>
      <c r="AD52" t="s">
        <v>11</v>
      </c>
    </row>
    <row r="53" spans="1:30" x14ac:dyDescent="0.3">
      <c r="A53">
        <v>33008</v>
      </c>
      <c r="B53" t="s">
        <v>128</v>
      </c>
      <c r="C53" t="s">
        <v>129</v>
      </c>
      <c r="D53" t="s">
        <v>372</v>
      </c>
      <c r="E53" t="s">
        <v>373</v>
      </c>
      <c r="F53">
        <v>3</v>
      </c>
      <c r="G53" t="s">
        <v>21</v>
      </c>
      <c r="H53">
        <v>3</v>
      </c>
      <c r="I53">
        <v>0</v>
      </c>
      <c r="J53">
        <v>0</v>
      </c>
      <c r="K53">
        <v>5</v>
      </c>
      <c r="L53">
        <v>0</v>
      </c>
      <c r="M53">
        <v>22</v>
      </c>
      <c r="N53">
        <v>0</v>
      </c>
      <c r="O53" t="s">
        <v>22</v>
      </c>
      <c r="P53">
        <v>0</v>
      </c>
      <c r="Q53" t="s">
        <v>11</v>
      </c>
      <c r="T53" t="s">
        <v>11</v>
      </c>
      <c r="U53" t="s">
        <v>11</v>
      </c>
      <c r="V53" t="b">
        <v>0</v>
      </c>
      <c r="W53">
        <v>140630</v>
      </c>
      <c r="X53">
        <v>0</v>
      </c>
      <c r="Y53" t="s">
        <v>11</v>
      </c>
      <c r="Z53">
        <v>0</v>
      </c>
      <c r="AA53" t="s">
        <v>116</v>
      </c>
      <c r="AB53" t="s">
        <v>11</v>
      </c>
      <c r="AC53" t="s">
        <v>11</v>
      </c>
      <c r="AD53" t="s">
        <v>11</v>
      </c>
    </row>
    <row r="54" spans="1:30" x14ac:dyDescent="0.3">
      <c r="A54">
        <v>33009</v>
      </c>
      <c r="B54" t="s">
        <v>130</v>
      </c>
      <c r="C54" t="s">
        <v>131</v>
      </c>
      <c r="D54" t="s">
        <v>374</v>
      </c>
      <c r="E54" t="s">
        <v>375</v>
      </c>
      <c r="F54">
        <v>3</v>
      </c>
      <c r="G54" t="s">
        <v>21</v>
      </c>
      <c r="H54">
        <v>3</v>
      </c>
      <c r="I54">
        <v>0</v>
      </c>
      <c r="J54">
        <v>0</v>
      </c>
      <c r="K54">
        <v>5</v>
      </c>
      <c r="L54">
        <v>0</v>
      </c>
      <c r="M54">
        <v>23</v>
      </c>
      <c r="N54">
        <v>0</v>
      </c>
      <c r="O54" t="s">
        <v>22</v>
      </c>
      <c r="P54">
        <v>0</v>
      </c>
      <c r="Q54" t="s">
        <v>11</v>
      </c>
      <c r="T54" t="s">
        <v>11</v>
      </c>
      <c r="U54" t="s">
        <v>11</v>
      </c>
      <c r="V54" t="b">
        <v>0</v>
      </c>
      <c r="W54">
        <v>187500</v>
      </c>
      <c r="X54">
        <v>0</v>
      </c>
      <c r="Y54" t="s">
        <v>11</v>
      </c>
      <c r="Z54">
        <v>0</v>
      </c>
      <c r="AA54" t="s">
        <v>119</v>
      </c>
      <c r="AB54" t="s">
        <v>11</v>
      </c>
      <c r="AC54" t="s">
        <v>11</v>
      </c>
      <c r="AD54" t="s">
        <v>11</v>
      </c>
    </row>
    <row r="55" spans="1:30" x14ac:dyDescent="0.3">
      <c r="A55">
        <v>33010</v>
      </c>
      <c r="B55" t="s">
        <v>132</v>
      </c>
      <c r="C55" t="s">
        <v>133</v>
      </c>
      <c r="D55" t="s">
        <v>376</v>
      </c>
      <c r="E55" t="s">
        <v>377</v>
      </c>
      <c r="F55">
        <v>4</v>
      </c>
      <c r="G55" t="s">
        <v>21</v>
      </c>
      <c r="H55">
        <v>3</v>
      </c>
      <c r="I55">
        <v>0</v>
      </c>
      <c r="J55">
        <v>0</v>
      </c>
      <c r="K55">
        <v>7</v>
      </c>
      <c r="L55">
        <v>0</v>
      </c>
      <c r="M55">
        <v>25</v>
      </c>
      <c r="N55">
        <v>0</v>
      </c>
      <c r="O55" t="s">
        <v>22</v>
      </c>
      <c r="P55">
        <v>0</v>
      </c>
      <c r="Q55" t="s">
        <v>11</v>
      </c>
      <c r="T55" t="s">
        <v>11</v>
      </c>
      <c r="U55" t="s">
        <v>11</v>
      </c>
      <c r="V55" t="b">
        <v>0</v>
      </c>
      <c r="W55">
        <v>468750</v>
      </c>
      <c r="X55">
        <v>0</v>
      </c>
      <c r="Y55" t="s">
        <v>11</v>
      </c>
      <c r="Z55">
        <v>0</v>
      </c>
      <c r="AA55" t="s">
        <v>113</v>
      </c>
      <c r="AB55" t="s">
        <v>11</v>
      </c>
      <c r="AC55" t="s">
        <v>11</v>
      </c>
      <c r="AD55" t="s">
        <v>11</v>
      </c>
    </row>
    <row r="56" spans="1:30" x14ac:dyDescent="0.3">
      <c r="A56">
        <v>33011</v>
      </c>
      <c r="B56" t="s">
        <v>134</v>
      </c>
      <c r="C56" t="s">
        <v>135</v>
      </c>
      <c r="D56" t="s">
        <v>378</v>
      </c>
      <c r="E56" t="s">
        <v>379</v>
      </c>
      <c r="F56">
        <v>4</v>
      </c>
      <c r="G56" t="s">
        <v>21</v>
      </c>
      <c r="H56">
        <v>3</v>
      </c>
      <c r="I56">
        <v>0</v>
      </c>
      <c r="J56">
        <v>0</v>
      </c>
      <c r="K56">
        <v>7</v>
      </c>
      <c r="L56">
        <v>0</v>
      </c>
      <c r="M56">
        <v>27</v>
      </c>
      <c r="N56">
        <v>0</v>
      </c>
      <c r="O56" t="s">
        <v>22</v>
      </c>
      <c r="P56">
        <v>0</v>
      </c>
      <c r="Q56" t="s">
        <v>277</v>
      </c>
      <c r="R56" t="s">
        <v>278</v>
      </c>
      <c r="S56" t="s">
        <v>279</v>
      </c>
      <c r="T56" t="s">
        <v>280</v>
      </c>
      <c r="U56" t="s">
        <v>281</v>
      </c>
      <c r="V56" t="b">
        <v>0</v>
      </c>
      <c r="W56">
        <v>703130</v>
      </c>
      <c r="X56">
        <v>0</v>
      </c>
      <c r="Y56" t="s">
        <v>11</v>
      </c>
      <c r="Z56">
        <v>0</v>
      </c>
      <c r="AA56" t="s">
        <v>116</v>
      </c>
      <c r="AB56" t="s">
        <v>11</v>
      </c>
      <c r="AC56" t="s">
        <v>11</v>
      </c>
      <c r="AD56" t="s">
        <v>11</v>
      </c>
    </row>
    <row r="57" spans="1:30" x14ac:dyDescent="0.3">
      <c r="A57">
        <v>33012</v>
      </c>
      <c r="B57" t="s">
        <v>136</v>
      </c>
      <c r="C57" t="s">
        <v>137</v>
      </c>
      <c r="D57" t="s">
        <v>380</v>
      </c>
      <c r="E57" t="s">
        <v>381</v>
      </c>
      <c r="F57">
        <v>4</v>
      </c>
      <c r="G57" t="s">
        <v>21</v>
      </c>
      <c r="H57">
        <v>3</v>
      </c>
      <c r="I57">
        <v>0</v>
      </c>
      <c r="J57">
        <v>0</v>
      </c>
      <c r="K57">
        <v>7</v>
      </c>
      <c r="L57">
        <v>0</v>
      </c>
      <c r="M57">
        <v>28</v>
      </c>
      <c r="N57">
        <v>0</v>
      </c>
      <c r="O57" t="s">
        <v>22</v>
      </c>
      <c r="P57">
        <v>0</v>
      </c>
      <c r="Q57" t="s">
        <v>11</v>
      </c>
      <c r="T57" t="s">
        <v>11</v>
      </c>
      <c r="U57" t="s">
        <v>11</v>
      </c>
      <c r="V57" t="b">
        <v>0</v>
      </c>
      <c r="W57">
        <v>937500</v>
      </c>
      <c r="X57">
        <v>0</v>
      </c>
      <c r="Y57" t="s">
        <v>11</v>
      </c>
      <c r="Z57">
        <v>0</v>
      </c>
      <c r="AA57" t="s">
        <v>119</v>
      </c>
      <c r="AB57" t="s">
        <v>11</v>
      </c>
      <c r="AC57" t="s">
        <v>11</v>
      </c>
      <c r="AD57" t="s">
        <v>11</v>
      </c>
    </row>
    <row r="58" spans="1:30" x14ac:dyDescent="0.3">
      <c r="A58">
        <v>34000</v>
      </c>
      <c r="B58" t="s">
        <v>138</v>
      </c>
      <c r="C58" t="s">
        <v>139</v>
      </c>
      <c r="D58" t="s">
        <v>382</v>
      </c>
      <c r="E58" t="s">
        <v>383</v>
      </c>
      <c r="F58">
        <v>1</v>
      </c>
      <c r="G58" t="s">
        <v>21</v>
      </c>
      <c r="H58">
        <v>1</v>
      </c>
      <c r="I58">
        <v>2</v>
      </c>
      <c r="J58">
        <v>2</v>
      </c>
      <c r="K58">
        <v>0</v>
      </c>
      <c r="L58">
        <v>1200</v>
      </c>
      <c r="M58">
        <v>0</v>
      </c>
      <c r="N58">
        <v>0</v>
      </c>
      <c r="O58" t="s">
        <v>22</v>
      </c>
      <c r="P58">
        <v>0</v>
      </c>
      <c r="V58" t="b">
        <v>0</v>
      </c>
      <c r="W58">
        <v>10</v>
      </c>
      <c r="X58">
        <v>0</v>
      </c>
      <c r="Y58" t="s">
        <v>11</v>
      </c>
      <c r="Z58">
        <v>0</v>
      </c>
      <c r="AA58" t="s">
        <v>384</v>
      </c>
      <c r="AB58" t="s">
        <v>11</v>
      </c>
      <c r="AC58" t="s">
        <v>11</v>
      </c>
      <c r="AD58" t="s">
        <v>11</v>
      </c>
    </row>
    <row r="59" spans="1:30" x14ac:dyDescent="0.3">
      <c r="A59">
        <v>34001</v>
      </c>
      <c r="B59" t="s">
        <v>140</v>
      </c>
      <c r="C59" t="s">
        <v>141</v>
      </c>
      <c r="D59" t="s">
        <v>385</v>
      </c>
      <c r="E59" t="s">
        <v>386</v>
      </c>
      <c r="F59">
        <v>1</v>
      </c>
      <c r="G59" t="s">
        <v>21</v>
      </c>
      <c r="H59">
        <v>1</v>
      </c>
      <c r="I59">
        <v>3</v>
      </c>
      <c r="J59">
        <v>2</v>
      </c>
      <c r="K59">
        <v>0</v>
      </c>
      <c r="L59">
        <v>1200</v>
      </c>
      <c r="M59">
        <v>0</v>
      </c>
      <c r="N59">
        <v>0</v>
      </c>
      <c r="O59" t="s">
        <v>22</v>
      </c>
      <c r="P59">
        <v>0</v>
      </c>
      <c r="V59" t="b">
        <v>0</v>
      </c>
      <c r="W59">
        <v>7500</v>
      </c>
      <c r="X59">
        <v>0</v>
      </c>
      <c r="Y59" t="s">
        <v>11</v>
      </c>
      <c r="Z59">
        <v>0</v>
      </c>
      <c r="AA59" t="s">
        <v>142</v>
      </c>
      <c r="AB59" t="s">
        <v>11</v>
      </c>
      <c r="AC59" t="s">
        <v>11</v>
      </c>
      <c r="AD59" t="s">
        <v>11</v>
      </c>
    </row>
    <row r="60" spans="1:30" x14ac:dyDescent="0.3">
      <c r="A60">
        <v>34002</v>
      </c>
      <c r="B60" t="s">
        <v>143</v>
      </c>
      <c r="C60" t="s">
        <v>144</v>
      </c>
      <c r="D60" t="s">
        <v>387</v>
      </c>
      <c r="E60" t="s">
        <v>388</v>
      </c>
      <c r="F60">
        <v>1</v>
      </c>
      <c r="G60" t="s">
        <v>21</v>
      </c>
      <c r="H60">
        <v>1</v>
      </c>
      <c r="I60">
        <v>4</v>
      </c>
      <c r="J60">
        <v>2</v>
      </c>
      <c r="K60">
        <v>0</v>
      </c>
      <c r="L60">
        <v>1200</v>
      </c>
      <c r="M60">
        <v>0</v>
      </c>
      <c r="N60">
        <v>0</v>
      </c>
      <c r="O60" t="s">
        <v>22</v>
      </c>
      <c r="P60">
        <v>0</v>
      </c>
      <c r="V60" t="b">
        <v>0</v>
      </c>
      <c r="W60">
        <v>11250</v>
      </c>
      <c r="X60">
        <v>0</v>
      </c>
      <c r="Y60" t="s">
        <v>11</v>
      </c>
      <c r="Z60">
        <v>0</v>
      </c>
      <c r="AA60" t="s">
        <v>145</v>
      </c>
      <c r="AB60" t="s">
        <v>11</v>
      </c>
      <c r="AC60" t="s">
        <v>11</v>
      </c>
      <c r="AD60" t="s">
        <v>11</v>
      </c>
    </row>
    <row r="61" spans="1:30" x14ac:dyDescent="0.3">
      <c r="A61">
        <v>34003</v>
      </c>
      <c r="B61" t="s">
        <v>146</v>
      </c>
      <c r="C61" t="s">
        <v>147</v>
      </c>
      <c r="D61" t="s">
        <v>389</v>
      </c>
      <c r="E61" t="s">
        <v>390</v>
      </c>
      <c r="F61">
        <v>1</v>
      </c>
      <c r="G61" t="s">
        <v>21</v>
      </c>
      <c r="H61">
        <v>1</v>
      </c>
      <c r="I61">
        <v>4</v>
      </c>
      <c r="J61">
        <v>2</v>
      </c>
      <c r="K61">
        <v>0</v>
      </c>
      <c r="L61">
        <v>1150</v>
      </c>
      <c r="M61">
        <v>0</v>
      </c>
      <c r="N61">
        <v>0</v>
      </c>
      <c r="O61" t="s">
        <v>22</v>
      </c>
      <c r="P61">
        <v>0</v>
      </c>
      <c r="Q61" t="s">
        <v>277</v>
      </c>
      <c r="R61" t="s">
        <v>278</v>
      </c>
      <c r="S61" t="s">
        <v>279</v>
      </c>
      <c r="T61" t="s">
        <v>280</v>
      </c>
      <c r="U61" t="s">
        <v>281</v>
      </c>
      <c r="V61" t="b">
        <v>0</v>
      </c>
      <c r="W61">
        <v>15000</v>
      </c>
      <c r="X61">
        <v>0</v>
      </c>
      <c r="Y61" t="s">
        <v>11</v>
      </c>
      <c r="Z61">
        <v>0</v>
      </c>
      <c r="AA61" t="s">
        <v>148</v>
      </c>
      <c r="AB61" t="s">
        <v>11</v>
      </c>
      <c r="AC61" t="s">
        <v>11</v>
      </c>
      <c r="AD61" t="s">
        <v>11</v>
      </c>
    </row>
    <row r="62" spans="1:30" x14ac:dyDescent="0.3">
      <c r="A62">
        <v>34004</v>
      </c>
      <c r="B62" t="s">
        <v>149</v>
      </c>
      <c r="C62" t="s">
        <v>150</v>
      </c>
      <c r="D62" t="s">
        <v>391</v>
      </c>
      <c r="E62" t="s">
        <v>392</v>
      </c>
      <c r="F62">
        <v>1</v>
      </c>
      <c r="G62" t="s">
        <v>21</v>
      </c>
      <c r="H62">
        <v>1</v>
      </c>
      <c r="I62">
        <v>2</v>
      </c>
      <c r="J62">
        <v>3</v>
      </c>
      <c r="K62">
        <v>0</v>
      </c>
      <c r="L62">
        <v>1400</v>
      </c>
      <c r="M62">
        <v>0</v>
      </c>
      <c r="N62">
        <v>0</v>
      </c>
      <c r="O62" t="s">
        <v>22</v>
      </c>
      <c r="P62">
        <v>0</v>
      </c>
      <c r="V62" t="b">
        <v>0</v>
      </c>
      <c r="W62">
        <v>7500</v>
      </c>
      <c r="X62">
        <v>0</v>
      </c>
      <c r="Y62" t="s">
        <v>11</v>
      </c>
      <c r="Z62">
        <v>0</v>
      </c>
      <c r="AA62" t="s">
        <v>393</v>
      </c>
      <c r="AB62" t="s">
        <v>11</v>
      </c>
      <c r="AC62" t="s">
        <v>11</v>
      </c>
      <c r="AD62" t="s">
        <v>11</v>
      </c>
    </row>
    <row r="63" spans="1:30" x14ac:dyDescent="0.3">
      <c r="A63">
        <v>34005</v>
      </c>
      <c r="B63" t="s">
        <v>151</v>
      </c>
      <c r="C63" t="s">
        <v>152</v>
      </c>
      <c r="D63" t="s">
        <v>394</v>
      </c>
      <c r="E63" t="s">
        <v>395</v>
      </c>
      <c r="F63">
        <v>1</v>
      </c>
      <c r="G63" t="s">
        <v>21</v>
      </c>
      <c r="H63">
        <v>1</v>
      </c>
      <c r="I63">
        <v>2</v>
      </c>
      <c r="J63">
        <v>4</v>
      </c>
      <c r="K63">
        <v>0</v>
      </c>
      <c r="L63">
        <v>1400</v>
      </c>
      <c r="M63">
        <v>0</v>
      </c>
      <c r="N63">
        <v>0</v>
      </c>
      <c r="O63" t="s">
        <v>22</v>
      </c>
      <c r="P63">
        <v>0</v>
      </c>
      <c r="V63" t="b">
        <v>0</v>
      </c>
      <c r="W63">
        <v>11250</v>
      </c>
      <c r="X63">
        <v>0</v>
      </c>
      <c r="Y63" t="s">
        <v>11</v>
      </c>
      <c r="Z63">
        <v>0</v>
      </c>
      <c r="AA63" t="s">
        <v>153</v>
      </c>
      <c r="AB63" t="s">
        <v>11</v>
      </c>
      <c r="AC63" t="s">
        <v>11</v>
      </c>
      <c r="AD63" t="s">
        <v>11</v>
      </c>
    </row>
    <row r="64" spans="1:30" x14ac:dyDescent="0.3">
      <c r="A64">
        <v>34006</v>
      </c>
      <c r="B64" t="s">
        <v>154</v>
      </c>
      <c r="C64" t="s">
        <v>155</v>
      </c>
      <c r="D64" t="s">
        <v>396</v>
      </c>
      <c r="E64" t="s">
        <v>397</v>
      </c>
      <c r="F64">
        <v>1</v>
      </c>
      <c r="G64" t="s">
        <v>21</v>
      </c>
      <c r="H64">
        <v>1</v>
      </c>
      <c r="I64">
        <v>2</v>
      </c>
      <c r="J64">
        <v>4</v>
      </c>
      <c r="K64">
        <v>0</v>
      </c>
      <c r="L64">
        <v>1350</v>
      </c>
      <c r="M64">
        <v>0</v>
      </c>
      <c r="N64">
        <v>0</v>
      </c>
      <c r="O64" t="s">
        <v>22</v>
      </c>
      <c r="P64">
        <v>0</v>
      </c>
      <c r="Q64" t="s">
        <v>277</v>
      </c>
      <c r="R64" t="s">
        <v>278</v>
      </c>
      <c r="S64" t="s">
        <v>279</v>
      </c>
      <c r="T64" t="s">
        <v>280</v>
      </c>
      <c r="U64" t="s">
        <v>281</v>
      </c>
      <c r="V64" t="b">
        <v>0</v>
      </c>
      <c r="W64">
        <v>15000</v>
      </c>
      <c r="X64">
        <v>0</v>
      </c>
      <c r="Y64" t="s">
        <v>11</v>
      </c>
      <c r="Z64">
        <v>0</v>
      </c>
      <c r="AA64" t="s">
        <v>156</v>
      </c>
      <c r="AB64" t="s">
        <v>11</v>
      </c>
      <c r="AC64" t="s">
        <v>11</v>
      </c>
      <c r="AD64" t="s">
        <v>11</v>
      </c>
    </row>
    <row r="65" spans="1:30" x14ac:dyDescent="0.3">
      <c r="A65">
        <v>34007</v>
      </c>
      <c r="B65" t="s">
        <v>157</v>
      </c>
      <c r="C65" t="s">
        <v>158</v>
      </c>
      <c r="D65" t="s">
        <v>398</v>
      </c>
      <c r="E65" t="s">
        <v>399</v>
      </c>
      <c r="F65">
        <v>1</v>
      </c>
      <c r="G65" t="s">
        <v>21</v>
      </c>
      <c r="H65">
        <v>1</v>
      </c>
      <c r="I65">
        <v>2</v>
      </c>
      <c r="J65">
        <v>1</v>
      </c>
      <c r="K65">
        <v>0</v>
      </c>
      <c r="L65">
        <v>900</v>
      </c>
      <c r="M65">
        <v>0</v>
      </c>
      <c r="N65">
        <v>0</v>
      </c>
      <c r="O65" t="s">
        <v>22</v>
      </c>
      <c r="P65">
        <v>0</v>
      </c>
      <c r="V65" t="b">
        <v>0</v>
      </c>
      <c r="W65">
        <v>7500</v>
      </c>
      <c r="X65">
        <v>0</v>
      </c>
      <c r="Y65" t="s">
        <v>11</v>
      </c>
      <c r="Z65">
        <v>0</v>
      </c>
      <c r="AA65" t="s">
        <v>400</v>
      </c>
      <c r="AB65" t="s">
        <v>11</v>
      </c>
      <c r="AC65" t="s">
        <v>11</v>
      </c>
      <c r="AD65" t="s">
        <v>11</v>
      </c>
    </row>
    <row r="66" spans="1:30" x14ac:dyDescent="0.3">
      <c r="A66">
        <v>34008</v>
      </c>
      <c r="B66" t="s">
        <v>159</v>
      </c>
      <c r="C66" t="s">
        <v>160</v>
      </c>
      <c r="D66" t="s">
        <v>401</v>
      </c>
      <c r="E66" t="s">
        <v>402</v>
      </c>
      <c r="F66">
        <v>1</v>
      </c>
      <c r="G66" t="s">
        <v>21</v>
      </c>
      <c r="H66">
        <v>1</v>
      </c>
      <c r="I66">
        <v>2</v>
      </c>
      <c r="J66">
        <v>1</v>
      </c>
      <c r="K66">
        <v>0</v>
      </c>
      <c r="L66">
        <v>800</v>
      </c>
      <c r="M66">
        <v>0</v>
      </c>
      <c r="N66">
        <v>0</v>
      </c>
      <c r="O66" t="s">
        <v>22</v>
      </c>
      <c r="P66">
        <v>0</v>
      </c>
      <c r="V66" t="b">
        <v>0</v>
      </c>
      <c r="W66">
        <v>11250</v>
      </c>
      <c r="X66">
        <v>0</v>
      </c>
      <c r="Y66" t="s">
        <v>11</v>
      </c>
      <c r="Z66">
        <v>0</v>
      </c>
      <c r="AA66" t="s">
        <v>161</v>
      </c>
      <c r="AB66" t="s">
        <v>11</v>
      </c>
      <c r="AC66" t="s">
        <v>11</v>
      </c>
      <c r="AD66" t="s">
        <v>11</v>
      </c>
    </row>
    <row r="67" spans="1:30" x14ac:dyDescent="0.3">
      <c r="A67">
        <v>34009</v>
      </c>
      <c r="B67" t="s">
        <v>162</v>
      </c>
      <c r="C67" t="s">
        <v>163</v>
      </c>
      <c r="D67" t="s">
        <v>403</v>
      </c>
      <c r="E67" t="s">
        <v>404</v>
      </c>
      <c r="F67">
        <v>1</v>
      </c>
      <c r="G67" t="s">
        <v>21</v>
      </c>
      <c r="H67">
        <v>1</v>
      </c>
      <c r="I67">
        <v>2</v>
      </c>
      <c r="J67">
        <v>1</v>
      </c>
      <c r="K67">
        <v>0</v>
      </c>
      <c r="L67">
        <v>750</v>
      </c>
      <c r="M67">
        <v>0</v>
      </c>
      <c r="N67">
        <v>0</v>
      </c>
      <c r="O67" t="s">
        <v>22</v>
      </c>
      <c r="P67">
        <v>0</v>
      </c>
      <c r="Q67" t="s">
        <v>277</v>
      </c>
      <c r="R67" t="s">
        <v>278</v>
      </c>
      <c r="S67" t="s">
        <v>279</v>
      </c>
      <c r="T67" t="s">
        <v>280</v>
      </c>
      <c r="U67" t="s">
        <v>281</v>
      </c>
      <c r="V67" t="b">
        <v>0</v>
      </c>
      <c r="W67">
        <v>15000</v>
      </c>
      <c r="X67">
        <v>0</v>
      </c>
      <c r="Y67" t="s">
        <v>11</v>
      </c>
      <c r="Z67">
        <v>0</v>
      </c>
      <c r="AA67" t="s">
        <v>164</v>
      </c>
      <c r="AB67" t="s">
        <v>11</v>
      </c>
      <c r="AC67" t="s">
        <v>11</v>
      </c>
      <c r="AD67" t="s">
        <v>11</v>
      </c>
    </row>
    <row r="68" spans="1:30" x14ac:dyDescent="0.3">
      <c r="A68">
        <v>34010</v>
      </c>
      <c r="B68" t="s">
        <v>165</v>
      </c>
      <c r="C68" t="s">
        <v>166</v>
      </c>
      <c r="D68" t="s">
        <v>405</v>
      </c>
      <c r="E68" t="s">
        <v>406</v>
      </c>
      <c r="F68">
        <v>2</v>
      </c>
      <c r="G68" t="s">
        <v>21</v>
      </c>
      <c r="H68">
        <v>1</v>
      </c>
      <c r="I68">
        <v>5</v>
      </c>
      <c r="J68">
        <v>3</v>
      </c>
      <c r="K68">
        <v>0</v>
      </c>
      <c r="L68">
        <v>1200</v>
      </c>
      <c r="M68">
        <v>0</v>
      </c>
      <c r="N68">
        <v>0</v>
      </c>
      <c r="O68" t="s">
        <v>22</v>
      </c>
      <c r="P68">
        <v>0</v>
      </c>
      <c r="V68" t="b">
        <v>0</v>
      </c>
      <c r="W68">
        <v>37500</v>
      </c>
      <c r="X68">
        <v>0</v>
      </c>
      <c r="Y68" t="s">
        <v>11</v>
      </c>
      <c r="Z68">
        <v>0</v>
      </c>
      <c r="AA68" t="s">
        <v>142</v>
      </c>
      <c r="AB68" t="s">
        <v>11</v>
      </c>
      <c r="AC68" t="s">
        <v>11</v>
      </c>
      <c r="AD68" t="s">
        <v>11</v>
      </c>
    </row>
    <row r="69" spans="1:30" x14ac:dyDescent="0.3">
      <c r="A69">
        <v>34011</v>
      </c>
      <c r="B69" t="s">
        <v>167</v>
      </c>
      <c r="C69" t="s">
        <v>168</v>
      </c>
      <c r="D69" t="s">
        <v>407</v>
      </c>
      <c r="E69" t="s">
        <v>408</v>
      </c>
      <c r="F69">
        <v>2</v>
      </c>
      <c r="G69" t="s">
        <v>21</v>
      </c>
      <c r="H69">
        <v>1</v>
      </c>
      <c r="I69">
        <v>6</v>
      </c>
      <c r="J69">
        <v>3</v>
      </c>
      <c r="K69">
        <v>0</v>
      </c>
      <c r="L69">
        <v>1200</v>
      </c>
      <c r="M69">
        <v>0</v>
      </c>
      <c r="N69">
        <v>0</v>
      </c>
      <c r="O69" t="s">
        <v>22</v>
      </c>
      <c r="P69">
        <v>0</v>
      </c>
      <c r="V69" t="b">
        <v>0</v>
      </c>
      <c r="W69">
        <v>56250</v>
      </c>
      <c r="X69">
        <v>0</v>
      </c>
      <c r="Y69" t="s">
        <v>11</v>
      </c>
      <c r="Z69">
        <v>0</v>
      </c>
      <c r="AA69" t="s">
        <v>145</v>
      </c>
      <c r="AB69" t="s">
        <v>11</v>
      </c>
      <c r="AC69" t="s">
        <v>11</v>
      </c>
      <c r="AD69" t="s">
        <v>11</v>
      </c>
    </row>
    <row r="70" spans="1:30" x14ac:dyDescent="0.3">
      <c r="A70">
        <v>34012</v>
      </c>
      <c r="B70" t="s">
        <v>169</v>
      </c>
      <c r="C70" t="s">
        <v>170</v>
      </c>
      <c r="D70" t="s">
        <v>409</v>
      </c>
      <c r="E70" t="s">
        <v>410</v>
      </c>
      <c r="F70">
        <v>2</v>
      </c>
      <c r="G70" t="s">
        <v>21</v>
      </c>
      <c r="H70">
        <v>1</v>
      </c>
      <c r="I70">
        <v>6</v>
      </c>
      <c r="J70">
        <v>3</v>
      </c>
      <c r="K70">
        <v>0</v>
      </c>
      <c r="L70">
        <v>1150</v>
      </c>
      <c r="M70">
        <v>0</v>
      </c>
      <c r="N70">
        <v>0</v>
      </c>
      <c r="O70" t="s">
        <v>22</v>
      </c>
      <c r="P70">
        <v>0</v>
      </c>
      <c r="Q70" t="s">
        <v>277</v>
      </c>
      <c r="R70" t="s">
        <v>278</v>
      </c>
      <c r="S70" t="s">
        <v>279</v>
      </c>
      <c r="T70" t="s">
        <v>280</v>
      </c>
      <c r="U70" t="s">
        <v>281</v>
      </c>
      <c r="V70" t="b">
        <v>0</v>
      </c>
      <c r="W70">
        <v>75000</v>
      </c>
      <c r="X70">
        <v>0</v>
      </c>
      <c r="Y70" t="s">
        <v>11</v>
      </c>
      <c r="Z70">
        <v>0</v>
      </c>
      <c r="AA70" t="s">
        <v>148</v>
      </c>
      <c r="AB70" t="s">
        <v>11</v>
      </c>
      <c r="AC70" t="s">
        <v>11</v>
      </c>
      <c r="AD70" t="s">
        <v>11</v>
      </c>
    </row>
    <row r="71" spans="1:30" x14ac:dyDescent="0.3">
      <c r="A71">
        <v>34013</v>
      </c>
      <c r="B71" t="s">
        <v>171</v>
      </c>
      <c r="C71" t="s">
        <v>172</v>
      </c>
      <c r="D71" t="s">
        <v>411</v>
      </c>
      <c r="E71" t="s">
        <v>412</v>
      </c>
      <c r="F71">
        <v>2</v>
      </c>
      <c r="G71" t="s">
        <v>21</v>
      </c>
      <c r="H71">
        <v>1</v>
      </c>
      <c r="I71">
        <v>3</v>
      </c>
      <c r="J71">
        <v>5</v>
      </c>
      <c r="K71">
        <v>0</v>
      </c>
      <c r="L71">
        <v>1400</v>
      </c>
      <c r="M71">
        <v>0</v>
      </c>
      <c r="N71">
        <v>0</v>
      </c>
      <c r="O71" t="s">
        <v>22</v>
      </c>
      <c r="P71">
        <v>0</v>
      </c>
      <c r="V71" t="b">
        <v>0</v>
      </c>
      <c r="W71">
        <v>37500</v>
      </c>
      <c r="X71">
        <v>0</v>
      </c>
      <c r="Y71" t="s">
        <v>11</v>
      </c>
      <c r="Z71">
        <v>0</v>
      </c>
      <c r="AA71" t="s">
        <v>393</v>
      </c>
      <c r="AB71" t="s">
        <v>11</v>
      </c>
      <c r="AC71" t="s">
        <v>11</v>
      </c>
      <c r="AD71" t="s">
        <v>11</v>
      </c>
    </row>
    <row r="72" spans="1:30" x14ac:dyDescent="0.3">
      <c r="A72">
        <v>34014</v>
      </c>
      <c r="B72" t="s">
        <v>173</v>
      </c>
      <c r="C72" t="s">
        <v>174</v>
      </c>
      <c r="D72" t="s">
        <v>413</v>
      </c>
      <c r="E72" t="s">
        <v>414</v>
      </c>
      <c r="F72">
        <v>2</v>
      </c>
      <c r="G72" t="s">
        <v>21</v>
      </c>
      <c r="H72">
        <v>1</v>
      </c>
      <c r="I72">
        <v>3</v>
      </c>
      <c r="J72">
        <v>6</v>
      </c>
      <c r="K72">
        <v>0</v>
      </c>
      <c r="L72">
        <v>1400</v>
      </c>
      <c r="M72">
        <v>0</v>
      </c>
      <c r="N72">
        <v>0</v>
      </c>
      <c r="O72" t="s">
        <v>22</v>
      </c>
      <c r="P72">
        <v>0</v>
      </c>
      <c r="V72" t="b">
        <v>0</v>
      </c>
      <c r="W72">
        <v>56250</v>
      </c>
      <c r="X72">
        <v>0</v>
      </c>
      <c r="Y72" t="s">
        <v>11</v>
      </c>
      <c r="Z72">
        <v>0</v>
      </c>
      <c r="AA72" t="s">
        <v>153</v>
      </c>
      <c r="AB72" t="s">
        <v>11</v>
      </c>
      <c r="AC72" t="s">
        <v>11</v>
      </c>
      <c r="AD72" t="s">
        <v>11</v>
      </c>
    </row>
    <row r="73" spans="1:30" x14ac:dyDescent="0.3">
      <c r="A73">
        <v>34015</v>
      </c>
      <c r="B73" t="s">
        <v>175</v>
      </c>
      <c r="C73" t="s">
        <v>176</v>
      </c>
      <c r="D73" t="s">
        <v>415</v>
      </c>
      <c r="E73" t="s">
        <v>416</v>
      </c>
      <c r="F73">
        <v>2</v>
      </c>
      <c r="G73" t="s">
        <v>21</v>
      </c>
      <c r="H73">
        <v>1</v>
      </c>
      <c r="I73">
        <v>3</v>
      </c>
      <c r="J73">
        <v>6</v>
      </c>
      <c r="K73">
        <v>0</v>
      </c>
      <c r="L73">
        <v>1350</v>
      </c>
      <c r="M73">
        <v>0</v>
      </c>
      <c r="N73">
        <v>0</v>
      </c>
      <c r="O73" t="s">
        <v>22</v>
      </c>
      <c r="P73">
        <v>0</v>
      </c>
      <c r="Q73" t="s">
        <v>277</v>
      </c>
      <c r="R73" t="s">
        <v>278</v>
      </c>
      <c r="S73" t="s">
        <v>279</v>
      </c>
      <c r="T73" t="s">
        <v>280</v>
      </c>
      <c r="U73" t="s">
        <v>281</v>
      </c>
      <c r="V73" t="b">
        <v>0</v>
      </c>
      <c r="W73">
        <v>75000</v>
      </c>
      <c r="X73">
        <v>0</v>
      </c>
      <c r="Y73" t="s">
        <v>11</v>
      </c>
      <c r="Z73">
        <v>0</v>
      </c>
      <c r="AA73" t="s">
        <v>156</v>
      </c>
      <c r="AB73" t="s">
        <v>11</v>
      </c>
      <c r="AC73" t="s">
        <v>11</v>
      </c>
      <c r="AD73" t="s">
        <v>11</v>
      </c>
    </row>
    <row r="74" spans="1:30" x14ac:dyDescent="0.3">
      <c r="A74">
        <v>34016</v>
      </c>
      <c r="B74" t="s">
        <v>177</v>
      </c>
      <c r="C74" t="s">
        <v>178</v>
      </c>
      <c r="D74" t="s">
        <v>417</v>
      </c>
      <c r="E74" t="s">
        <v>418</v>
      </c>
      <c r="F74">
        <v>2</v>
      </c>
      <c r="G74" t="s">
        <v>21</v>
      </c>
      <c r="H74">
        <v>1</v>
      </c>
      <c r="I74">
        <v>3</v>
      </c>
      <c r="J74">
        <v>2</v>
      </c>
      <c r="K74">
        <v>0</v>
      </c>
      <c r="L74">
        <v>900</v>
      </c>
      <c r="M74">
        <v>0</v>
      </c>
      <c r="N74">
        <v>0</v>
      </c>
      <c r="O74" t="s">
        <v>22</v>
      </c>
      <c r="P74">
        <v>0</v>
      </c>
      <c r="V74" t="b">
        <v>0</v>
      </c>
      <c r="W74">
        <v>37500</v>
      </c>
      <c r="X74">
        <v>0</v>
      </c>
      <c r="Y74" t="s">
        <v>11</v>
      </c>
      <c r="Z74">
        <v>0</v>
      </c>
      <c r="AA74" t="s">
        <v>400</v>
      </c>
      <c r="AB74" t="s">
        <v>11</v>
      </c>
      <c r="AC74" t="s">
        <v>11</v>
      </c>
      <c r="AD74" t="s">
        <v>11</v>
      </c>
    </row>
    <row r="75" spans="1:30" x14ac:dyDescent="0.3">
      <c r="A75">
        <v>34017</v>
      </c>
      <c r="B75" t="s">
        <v>179</v>
      </c>
      <c r="C75" t="s">
        <v>180</v>
      </c>
      <c r="D75" t="s">
        <v>419</v>
      </c>
      <c r="E75" t="s">
        <v>420</v>
      </c>
      <c r="F75">
        <v>2</v>
      </c>
      <c r="G75" t="s">
        <v>21</v>
      </c>
      <c r="H75">
        <v>1</v>
      </c>
      <c r="I75">
        <v>3</v>
      </c>
      <c r="J75">
        <v>2</v>
      </c>
      <c r="K75">
        <v>0</v>
      </c>
      <c r="L75">
        <v>800</v>
      </c>
      <c r="M75">
        <v>0</v>
      </c>
      <c r="N75">
        <v>0</v>
      </c>
      <c r="O75" t="s">
        <v>22</v>
      </c>
      <c r="P75">
        <v>0</v>
      </c>
      <c r="V75" t="b">
        <v>0</v>
      </c>
      <c r="W75">
        <v>56250</v>
      </c>
      <c r="X75">
        <v>0</v>
      </c>
      <c r="Y75" t="s">
        <v>11</v>
      </c>
      <c r="Z75">
        <v>0</v>
      </c>
      <c r="AA75" t="s">
        <v>161</v>
      </c>
      <c r="AB75" t="s">
        <v>11</v>
      </c>
      <c r="AC75" t="s">
        <v>11</v>
      </c>
      <c r="AD75" t="s">
        <v>11</v>
      </c>
    </row>
    <row r="76" spans="1:30" x14ac:dyDescent="0.3">
      <c r="A76">
        <v>34018</v>
      </c>
      <c r="B76" t="s">
        <v>181</v>
      </c>
      <c r="C76" t="s">
        <v>182</v>
      </c>
      <c r="D76" t="s">
        <v>421</v>
      </c>
      <c r="E76" t="s">
        <v>422</v>
      </c>
      <c r="F76">
        <v>2</v>
      </c>
      <c r="G76" t="s">
        <v>21</v>
      </c>
      <c r="H76">
        <v>1</v>
      </c>
      <c r="I76">
        <v>3</v>
      </c>
      <c r="J76">
        <v>2</v>
      </c>
      <c r="K76">
        <v>0</v>
      </c>
      <c r="L76">
        <v>750</v>
      </c>
      <c r="M76">
        <v>0</v>
      </c>
      <c r="N76">
        <v>0</v>
      </c>
      <c r="O76" t="s">
        <v>22</v>
      </c>
      <c r="P76">
        <v>0</v>
      </c>
      <c r="Q76" t="s">
        <v>277</v>
      </c>
      <c r="R76" t="s">
        <v>278</v>
      </c>
      <c r="S76" t="s">
        <v>279</v>
      </c>
      <c r="T76" t="s">
        <v>280</v>
      </c>
      <c r="U76" t="s">
        <v>281</v>
      </c>
      <c r="V76" t="b">
        <v>0</v>
      </c>
      <c r="W76">
        <v>75000</v>
      </c>
      <c r="X76">
        <v>0</v>
      </c>
      <c r="Y76" t="s">
        <v>11</v>
      </c>
      <c r="Z76">
        <v>0</v>
      </c>
      <c r="AA76" t="s">
        <v>164</v>
      </c>
      <c r="AB76" t="s">
        <v>11</v>
      </c>
      <c r="AC76" t="s">
        <v>11</v>
      </c>
      <c r="AD76" t="s">
        <v>11</v>
      </c>
    </row>
    <row r="77" spans="1:30" x14ac:dyDescent="0.3">
      <c r="A77">
        <v>34019</v>
      </c>
      <c r="B77" t="s">
        <v>183</v>
      </c>
      <c r="C77" t="s">
        <v>184</v>
      </c>
      <c r="D77" t="s">
        <v>423</v>
      </c>
      <c r="E77" t="s">
        <v>424</v>
      </c>
      <c r="F77">
        <v>3</v>
      </c>
      <c r="G77" t="s">
        <v>21</v>
      </c>
      <c r="H77">
        <v>1</v>
      </c>
      <c r="I77">
        <v>7</v>
      </c>
      <c r="J77">
        <v>5</v>
      </c>
      <c r="K77">
        <v>0</v>
      </c>
      <c r="L77">
        <v>1200</v>
      </c>
      <c r="M77">
        <v>0</v>
      </c>
      <c r="N77">
        <v>0</v>
      </c>
      <c r="O77" t="s">
        <v>22</v>
      </c>
      <c r="P77">
        <v>0</v>
      </c>
      <c r="V77" t="b">
        <v>0</v>
      </c>
      <c r="W77">
        <v>187500</v>
      </c>
      <c r="X77">
        <v>0</v>
      </c>
      <c r="Y77" t="s">
        <v>11</v>
      </c>
      <c r="Z77">
        <v>0</v>
      </c>
      <c r="AA77" t="s">
        <v>142</v>
      </c>
      <c r="AB77" t="s">
        <v>11</v>
      </c>
      <c r="AC77" t="s">
        <v>11</v>
      </c>
      <c r="AD77" t="s">
        <v>11</v>
      </c>
    </row>
    <row r="78" spans="1:30" x14ac:dyDescent="0.3">
      <c r="A78">
        <v>34020</v>
      </c>
      <c r="B78" t="s">
        <v>185</v>
      </c>
      <c r="C78" t="s">
        <v>186</v>
      </c>
      <c r="D78" t="s">
        <v>425</v>
      </c>
      <c r="E78" t="s">
        <v>426</v>
      </c>
      <c r="F78">
        <v>3</v>
      </c>
      <c r="G78" t="s">
        <v>21</v>
      </c>
      <c r="H78">
        <v>1</v>
      </c>
      <c r="I78">
        <v>8</v>
      </c>
      <c r="J78">
        <v>5</v>
      </c>
      <c r="K78">
        <v>0</v>
      </c>
      <c r="L78">
        <v>1200</v>
      </c>
      <c r="M78">
        <v>0</v>
      </c>
      <c r="N78">
        <v>0</v>
      </c>
      <c r="O78" t="s">
        <v>22</v>
      </c>
      <c r="P78">
        <v>0</v>
      </c>
      <c r="V78" t="b">
        <v>0</v>
      </c>
      <c r="W78">
        <v>281250</v>
      </c>
      <c r="X78">
        <v>0</v>
      </c>
      <c r="Y78" t="s">
        <v>11</v>
      </c>
      <c r="Z78">
        <v>0</v>
      </c>
      <c r="AA78" t="s">
        <v>145</v>
      </c>
      <c r="AB78" t="s">
        <v>11</v>
      </c>
      <c r="AC78" t="s">
        <v>11</v>
      </c>
      <c r="AD78" t="s">
        <v>11</v>
      </c>
    </row>
    <row r="79" spans="1:30" x14ac:dyDescent="0.3">
      <c r="A79">
        <v>34021</v>
      </c>
      <c r="B79" t="s">
        <v>187</v>
      </c>
      <c r="C79" t="s">
        <v>188</v>
      </c>
      <c r="D79" t="s">
        <v>427</v>
      </c>
      <c r="E79" t="s">
        <v>428</v>
      </c>
      <c r="F79">
        <v>3</v>
      </c>
      <c r="G79" t="s">
        <v>21</v>
      </c>
      <c r="H79">
        <v>1</v>
      </c>
      <c r="I79">
        <v>8</v>
      </c>
      <c r="J79">
        <v>5</v>
      </c>
      <c r="K79">
        <v>0</v>
      </c>
      <c r="L79">
        <v>1150</v>
      </c>
      <c r="M79">
        <v>0</v>
      </c>
      <c r="N79">
        <v>0</v>
      </c>
      <c r="O79" t="s">
        <v>22</v>
      </c>
      <c r="P79">
        <v>0</v>
      </c>
      <c r="Q79" t="s">
        <v>277</v>
      </c>
      <c r="R79" t="s">
        <v>278</v>
      </c>
      <c r="S79" t="s">
        <v>279</v>
      </c>
      <c r="T79" t="s">
        <v>280</v>
      </c>
      <c r="U79" t="s">
        <v>281</v>
      </c>
      <c r="V79" t="b">
        <v>0</v>
      </c>
      <c r="W79">
        <v>375000</v>
      </c>
      <c r="X79">
        <v>0</v>
      </c>
      <c r="Y79" t="s">
        <v>11</v>
      </c>
      <c r="Z79">
        <v>0</v>
      </c>
      <c r="AA79" t="s">
        <v>148</v>
      </c>
      <c r="AB79" t="s">
        <v>11</v>
      </c>
      <c r="AC79" t="s">
        <v>11</v>
      </c>
      <c r="AD79" t="s">
        <v>11</v>
      </c>
    </row>
    <row r="80" spans="1:30" x14ac:dyDescent="0.3">
      <c r="A80">
        <v>34022</v>
      </c>
      <c r="B80" t="s">
        <v>189</v>
      </c>
      <c r="C80" t="s">
        <v>190</v>
      </c>
      <c r="D80" t="s">
        <v>429</v>
      </c>
      <c r="E80" t="s">
        <v>430</v>
      </c>
      <c r="F80">
        <v>3</v>
      </c>
      <c r="G80" t="s">
        <v>21</v>
      </c>
      <c r="H80">
        <v>1</v>
      </c>
      <c r="I80">
        <v>5</v>
      </c>
      <c r="J80">
        <v>7</v>
      </c>
      <c r="K80">
        <v>0</v>
      </c>
      <c r="L80">
        <v>1400</v>
      </c>
      <c r="M80">
        <v>0</v>
      </c>
      <c r="N80">
        <v>0</v>
      </c>
      <c r="O80" t="s">
        <v>22</v>
      </c>
      <c r="P80">
        <v>0</v>
      </c>
      <c r="V80" t="b">
        <v>0</v>
      </c>
      <c r="W80">
        <v>187500</v>
      </c>
      <c r="X80">
        <v>0</v>
      </c>
      <c r="Y80" t="s">
        <v>11</v>
      </c>
      <c r="Z80">
        <v>0</v>
      </c>
      <c r="AA80" t="s">
        <v>393</v>
      </c>
      <c r="AB80" t="s">
        <v>11</v>
      </c>
      <c r="AC80" t="s">
        <v>11</v>
      </c>
      <c r="AD80" t="s">
        <v>11</v>
      </c>
    </row>
    <row r="81" spans="1:30" x14ac:dyDescent="0.3">
      <c r="A81">
        <v>34023</v>
      </c>
      <c r="B81" t="s">
        <v>191</v>
      </c>
      <c r="C81" t="s">
        <v>192</v>
      </c>
      <c r="D81" t="s">
        <v>431</v>
      </c>
      <c r="E81" t="s">
        <v>432</v>
      </c>
      <c r="F81">
        <v>3</v>
      </c>
      <c r="G81" t="s">
        <v>21</v>
      </c>
      <c r="H81">
        <v>1</v>
      </c>
      <c r="I81">
        <v>5</v>
      </c>
      <c r="J81">
        <v>8</v>
      </c>
      <c r="K81">
        <v>0</v>
      </c>
      <c r="L81">
        <v>1400</v>
      </c>
      <c r="M81">
        <v>0</v>
      </c>
      <c r="N81">
        <v>0</v>
      </c>
      <c r="O81" t="s">
        <v>22</v>
      </c>
      <c r="P81">
        <v>0</v>
      </c>
      <c r="V81" t="b">
        <v>0</v>
      </c>
      <c r="W81">
        <v>281250</v>
      </c>
      <c r="X81">
        <v>0</v>
      </c>
      <c r="Y81" t="s">
        <v>11</v>
      </c>
      <c r="Z81">
        <v>0</v>
      </c>
      <c r="AA81" t="s">
        <v>153</v>
      </c>
      <c r="AB81" t="s">
        <v>11</v>
      </c>
      <c r="AC81" t="s">
        <v>11</v>
      </c>
      <c r="AD81" t="s">
        <v>11</v>
      </c>
    </row>
    <row r="82" spans="1:30" x14ac:dyDescent="0.3">
      <c r="A82">
        <v>34024</v>
      </c>
      <c r="B82" t="s">
        <v>193</v>
      </c>
      <c r="C82" t="s">
        <v>194</v>
      </c>
      <c r="D82" t="s">
        <v>433</v>
      </c>
      <c r="E82" t="s">
        <v>434</v>
      </c>
      <c r="F82">
        <v>3</v>
      </c>
      <c r="G82" t="s">
        <v>21</v>
      </c>
      <c r="H82">
        <v>1</v>
      </c>
      <c r="I82">
        <v>5</v>
      </c>
      <c r="J82">
        <v>8</v>
      </c>
      <c r="K82">
        <v>0</v>
      </c>
      <c r="L82">
        <v>1350</v>
      </c>
      <c r="M82">
        <v>0</v>
      </c>
      <c r="N82">
        <v>0</v>
      </c>
      <c r="O82" t="s">
        <v>22</v>
      </c>
      <c r="P82">
        <v>0</v>
      </c>
      <c r="Q82" t="s">
        <v>277</v>
      </c>
      <c r="R82" t="s">
        <v>278</v>
      </c>
      <c r="S82" t="s">
        <v>279</v>
      </c>
      <c r="T82" t="s">
        <v>280</v>
      </c>
      <c r="U82" t="s">
        <v>281</v>
      </c>
      <c r="V82" t="b">
        <v>0</v>
      </c>
      <c r="W82">
        <v>375000</v>
      </c>
      <c r="X82">
        <v>0</v>
      </c>
      <c r="Y82" t="s">
        <v>11</v>
      </c>
      <c r="Z82">
        <v>0</v>
      </c>
      <c r="AA82" t="s">
        <v>156</v>
      </c>
      <c r="AB82" t="s">
        <v>11</v>
      </c>
      <c r="AC82" t="s">
        <v>11</v>
      </c>
      <c r="AD82" t="s">
        <v>11</v>
      </c>
    </row>
    <row r="83" spans="1:30" x14ac:dyDescent="0.3">
      <c r="A83">
        <v>34025</v>
      </c>
      <c r="B83" t="s">
        <v>195</v>
      </c>
      <c r="C83" t="s">
        <v>196</v>
      </c>
      <c r="D83" t="s">
        <v>435</v>
      </c>
      <c r="E83" t="s">
        <v>436</v>
      </c>
      <c r="F83">
        <v>3</v>
      </c>
      <c r="G83" t="s">
        <v>21</v>
      </c>
      <c r="H83">
        <v>1</v>
      </c>
      <c r="I83">
        <v>5</v>
      </c>
      <c r="J83">
        <v>3</v>
      </c>
      <c r="K83">
        <v>0</v>
      </c>
      <c r="L83">
        <v>900</v>
      </c>
      <c r="M83">
        <v>0</v>
      </c>
      <c r="N83">
        <v>0</v>
      </c>
      <c r="O83" t="s">
        <v>22</v>
      </c>
      <c r="P83">
        <v>0</v>
      </c>
      <c r="V83" t="b">
        <v>0</v>
      </c>
      <c r="W83">
        <v>187500</v>
      </c>
      <c r="X83">
        <v>0</v>
      </c>
      <c r="Y83" t="s">
        <v>11</v>
      </c>
      <c r="Z83">
        <v>0</v>
      </c>
      <c r="AA83" t="s">
        <v>400</v>
      </c>
      <c r="AB83" t="s">
        <v>11</v>
      </c>
      <c r="AC83" t="s">
        <v>11</v>
      </c>
      <c r="AD83" t="s">
        <v>11</v>
      </c>
    </row>
    <row r="84" spans="1:30" x14ac:dyDescent="0.3">
      <c r="A84">
        <v>34026</v>
      </c>
      <c r="B84" t="s">
        <v>197</v>
      </c>
      <c r="C84" t="s">
        <v>198</v>
      </c>
      <c r="D84" t="s">
        <v>437</v>
      </c>
      <c r="E84" t="s">
        <v>438</v>
      </c>
      <c r="F84">
        <v>3</v>
      </c>
      <c r="G84" t="s">
        <v>21</v>
      </c>
      <c r="H84">
        <v>1</v>
      </c>
      <c r="I84">
        <v>5</v>
      </c>
      <c r="J84">
        <v>3</v>
      </c>
      <c r="K84">
        <v>0</v>
      </c>
      <c r="L84">
        <v>800</v>
      </c>
      <c r="M84">
        <v>0</v>
      </c>
      <c r="N84">
        <v>0</v>
      </c>
      <c r="O84" t="s">
        <v>22</v>
      </c>
      <c r="P84">
        <v>0</v>
      </c>
      <c r="V84" t="b">
        <v>0</v>
      </c>
      <c r="W84">
        <v>281250</v>
      </c>
      <c r="X84">
        <v>0</v>
      </c>
      <c r="Y84" t="s">
        <v>11</v>
      </c>
      <c r="Z84">
        <v>0</v>
      </c>
      <c r="AA84" t="s">
        <v>161</v>
      </c>
      <c r="AB84" t="s">
        <v>11</v>
      </c>
      <c r="AC84" t="s">
        <v>11</v>
      </c>
      <c r="AD84" t="s">
        <v>11</v>
      </c>
    </row>
    <row r="85" spans="1:30" x14ac:dyDescent="0.3">
      <c r="A85">
        <v>34027</v>
      </c>
      <c r="B85" t="s">
        <v>199</v>
      </c>
      <c r="C85" t="s">
        <v>200</v>
      </c>
      <c r="D85" t="s">
        <v>439</v>
      </c>
      <c r="E85" t="s">
        <v>440</v>
      </c>
      <c r="F85">
        <v>3</v>
      </c>
      <c r="G85" t="s">
        <v>21</v>
      </c>
      <c r="H85">
        <v>1</v>
      </c>
      <c r="I85">
        <v>5</v>
      </c>
      <c r="J85">
        <v>3</v>
      </c>
      <c r="K85">
        <v>0</v>
      </c>
      <c r="L85">
        <v>750</v>
      </c>
      <c r="M85">
        <v>0</v>
      </c>
      <c r="N85">
        <v>0</v>
      </c>
      <c r="O85" t="s">
        <v>22</v>
      </c>
      <c r="P85">
        <v>0</v>
      </c>
      <c r="Q85" t="s">
        <v>277</v>
      </c>
      <c r="R85" t="s">
        <v>278</v>
      </c>
      <c r="S85" t="s">
        <v>279</v>
      </c>
      <c r="T85" t="s">
        <v>280</v>
      </c>
      <c r="U85" t="s">
        <v>281</v>
      </c>
      <c r="V85" t="b">
        <v>0</v>
      </c>
      <c r="W85">
        <v>375000</v>
      </c>
      <c r="X85">
        <v>0</v>
      </c>
      <c r="Y85" t="s">
        <v>11</v>
      </c>
      <c r="Z85">
        <v>0</v>
      </c>
      <c r="AA85" t="s">
        <v>164</v>
      </c>
      <c r="AB85" t="s">
        <v>11</v>
      </c>
      <c r="AC85" t="s">
        <v>11</v>
      </c>
      <c r="AD85" t="s">
        <v>11</v>
      </c>
    </row>
    <row r="86" spans="1:30" x14ac:dyDescent="0.3">
      <c r="A86">
        <v>34028</v>
      </c>
      <c r="B86" t="s">
        <v>201</v>
      </c>
      <c r="C86" t="s">
        <v>202</v>
      </c>
      <c r="D86" t="s">
        <v>441</v>
      </c>
      <c r="E86" t="s">
        <v>442</v>
      </c>
      <c r="F86">
        <v>4</v>
      </c>
      <c r="G86" t="s">
        <v>21</v>
      </c>
      <c r="H86">
        <v>1</v>
      </c>
      <c r="I86">
        <v>9</v>
      </c>
      <c r="J86">
        <v>6</v>
      </c>
      <c r="K86">
        <v>0</v>
      </c>
      <c r="L86">
        <v>1200</v>
      </c>
      <c r="M86">
        <v>0</v>
      </c>
      <c r="N86">
        <v>0</v>
      </c>
      <c r="O86" t="s">
        <v>22</v>
      </c>
      <c r="P86">
        <v>0</v>
      </c>
      <c r="V86" t="b">
        <v>0</v>
      </c>
      <c r="W86">
        <v>937500</v>
      </c>
      <c r="X86">
        <v>0</v>
      </c>
      <c r="Y86" t="s">
        <v>11</v>
      </c>
      <c r="Z86">
        <v>0</v>
      </c>
      <c r="AA86" t="s">
        <v>142</v>
      </c>
      <c r="AB86" t="s">
        <v>11</v>
      </c>
      <c r="AC86" t="s">
        <v>11</v>
      </c>
      <c r="AD86" t="s">
        <v>11</v>
      </c>
    </row>
    <row r="87" spans="1:30" x14ac:dyDescent="0.3">
      <c r="A87">
        <v>34029</v>
      </c>
      <c r="B87" t="s">
        <v>203</v>
      </c>
      <c r="C87" t="s">
        <v>204</v>
      </c>
      <c r="D87" t="s">
        <v>443</v>
      </c>
      <c r="E87" t="s">
        <v>444</v>
      </c>
      <c r="F87">
        <v>4</v>
      </c>
      <c r="G87" t="s">
        <v>21</v>
      </c>
      <c r="H87">
        <v>1</v>
      </c>
      <c r="I87">
        <v>10</v>
      </c>
      <c r="J87">
        <v>6</v>
      </c>
      <c r="K87">
        <v>0</v>
      </c>
      <c r="L87">
        <v>1200</v>
      </c>
      <c r="M87">
        <v>0</v>
      </c>
      <c r="N87">
        <v>0</v>
      </c>
      <c r="O87" t="s">
        <v>22</v>
      </c>
      <c r="P87">
        <v>0</v>
      </c>
      <c r="V87" t="b">
        <v>0</v>
      </c>
      <c r="W87">
        <v>1406250</v>
      </c>
      <c r="X87">
        <v>0</v>
      </c>
      <c r="Y87" t="s">
        <v>11</v>
      </c>
      <c r="Z87">
        <v>0</v>
      </c>
      <c r="AA87" t="s">
        <v>145</v>
      </c>
      <c r="AB87" t="s">
        <v>11</v>
      </c>
      <c r="AC87" t="s">
        <v>11</v>
      </c>
      <c r="AD87" t="s">
        <v>11</v>
      </c>
    </row>
    <row r="88" spans="1:30" x14ac:dyDescent="0.3">
      <c r="A88">
        <v>34030</v>
      </c>
      <c r="B88" t="s">
        <v>205</v>
      </c>
      <c r="C88" t="s">
        <v>206</v>
      </c>
      <c r="D88" t="s">
        <v>445</v>
      </c>
      <c r="E88" t="s">
        <v>446</v>
      </c>
      <c r="F88">
        <v>4</v>
      </c>
      <c r="G88" t="s">
        <v>21</v>
      </c>
      <c r="H88">
        <v>1</v>
      </c>
      <c r="I88">
        <v>10</v>
      </c>
      <c r="J88">
        <v>6</v>
      </c>
      <c r="K88">
        <v>0</v>
      </c>
      <c r="L88">
        <v>1150</v>
      </c>
      <c r="M88">
        <v>0</v>
      </c>
      <c r="N88">
        <v>0</v>
      </c>
      <c r="O88" t="s">
        <v>22</v>
      </c>
      <c r="P88">
        <v>0</v>
      </c>
      <c r="Q88" t="s">
        <v>277</v>
      </c>
      <c r="R88" t="s">
        <v>278</v>
      </c>
      <c r="S88" t="s">
        <v>279</v>
      </c>
      <c r="T88" t="s">
        <v>280</v>
      </c>
      <c r="U88" t="s">
        <v>281</v>
      </c>
      <c r="V88" t="b">
        <v>0</v>
      </c>
      <c r="W88">
        <v>1875000</v>
      </c>
      <c r="X88">
        <v>0</v>
      </c>
      <c r="Y88" t="s">
        <v>11</v>
      </c>
      <c r="Z88">
        <v>0</v>
      </c>
      <c r="AA88" t="s">
        <v>148</v>
      </c>
      <c r="AB88" t="s">
        <v>11</v>
      </c>
      <c r="AC88" t="s">
        <v>11</v>
      </c>
      <c r="AD88" t="s">
        <v>11</v>
      </c>
    </row>
    <row r="89" spans="1:30" x14ac:dyDescent="0.3">
      <c r="A89">
        <v>34031</v>
      </c>
      <c r="B89" t="s">
        <v>207</v>
      </c>
      <c r="C89" t="s">
        <v>208</v>
      </c>
      <c r="D89" t="s">
        <v>447</v>
      </c>
      <c r="E89" t="s">
        <v>448</v>
      </c>
      <c r="F89">
        <v>4</v>
      </c>
      <c r="G89" t="s">
        <v>21</v>
      </c>
      <c r="H89">
        <v>1</v>
      </c>
      <c r="I89">
        <v>6</v>
      </c>
      <c r="J89">
        <v>9</v>
      </c>
      <c r="K89">
        <v>0</v>
      </c>
      <c r="L89">
        <v>1400</v>
      </c>
      <c r="M89">
        <v>0</v>
      </c>
      <c r="N89">
        <v>0</v>
      </c>
      <c r="O89" t="s">
        <v>22</v>
      </c>
      <c r="P89">
        <v>0</v>
      </c>
      <c r="V89" t="b">
        <v>0</v>
      </c>
      <c r="W89">
        <v>937500</v>
      </c>
      <c r="X89">
        <v>0</v>
      </c>
      <c r="Y89" t="s">
        <v>11</v>
      </c>
      <c r="Z89">
        <v>0</v>
      </c>
      <c r="AA89" t="s">
        <v>393</v>
      </c>
      <c r="AB89" t="s">
        <v>11</v>
      </c>
      <c r="AC89" t="s">
        <v>11</v>
      </c>
      <c r="AD89" t="s">
        <v>11</v>
      </c>
    </row>
    <row r="90" spans="1:30" x14ac:dyDescent="0.3">
      <c r="A90">
        <v>34032</v>
      </c>
      <c r="B90" t="s">
        <v>209</v>
      </c>
      <c r="C90" t="s">
        <v>210</v>
      </c>
      <c r="D90" t="s">
        <v>449</v>
      </c>
      <c r="E90" t="s">
        <v>450</v>
      </c>
      <c r="F90">
        <v>4</v>
      </c>
      <c r="G90" t="s">
        <v>21</v>
      </c>
      <c r="H90">
        <v>1</v>
      </c>
      <c r="I90">
        <v>6</v>
      </c>
      <c r="J90">
        <v>10</v>
      </c>
      <c r="K90">
        <v>0</v>
      </c>
      <c r="L90">
        <v>1400</v>
      </c>
      <c r="M90">
        <v>0</v>
      </c>
      <c r="N90">
        <v>0</v>
      </c>
      <c r="O90" t="s">
        <v>22</v>
      </c>
      <c r="P90">
        <v>0</v>
      </c>
      <c r="V90" t="b">
        <v>0</v>
      </c>
      <c r="W90">
        <v>1406250</v>
      </c>
      <c r="X90">
        <v>0</v>
      </c>
      <c r="Y90" t="s">
        <v>11</v>
      </c>
      <c r="Z90">
        <v>0</v>
      </c>
      <c r="AA90" t="s">
        <v>153</v>
      </c>
      <c r="AB90" t="s">
        <v>11</v>
      </c>
      <c r="AC90" t="s">
        <v>11</v>
      </c>
      <c r="AD90" t="s">
        <v>11</v>
      </c>
    </row>
    <row r="91" spans="1:30" x14ac:dyDescent="0.3">
      <c r="A91">
        <v>34033</v>
      </c>
      <c r="B91" t="s">
        <v>211</v>
      </c>
      <c r="C91" t="s">
        <v>212</v>
      </c>
      <c r="D91" t="s">
        <v>451</v>
      </c>
      <c r="E91" t="s">
        <v>452</v>
      </c>
      <c r="F91">
        <v>4</v>
      </c>
      <c r="G91" t="s">
        <v>21</v>
      </c>
      <c r="H91">
        <v>1</v>
      </c>
      <c r="I91">
        <v>6</v>
      </c>
      <c r="J91">
        <v>10</v>
      </c>
      <c r="K91">
        <v>0</v>
      </c>
      <c r="L91">
        <v>1350</v>
      </c>
      <c r="M91">
        <v>0</v>
      </c>
      <c r="N91">
        <v>0</v>
      </c>
      <c r="O91" t="s">
        <v>22</v>
      </c>
      <c r="P91">
        <v>0</v>
      </c>
      <c r="Q91" t="s">
        <v>277</v>
      </c>
      <c r="R91" t="s">
        <v>278</v>
      </c>
      <c r="S91" t="s">
        <v>279</v>
      </c>
      <c r="T91" t="s">
        <v>280</v>
      </c>
      <c r="U91" t="s">
        <v>281</v>
      </c>
      <c r="V91" t="b">
        <v>0</v>
      </c>
      <c r="W91">
        <v>1875000</v>
      </c>
      <c r="X91">
        <v>0</v>
      </c>
      <c r="Y91" t="s">
        <v>11</v>
      </c>
      <c r="Z91">
        <v>0</v>
      </c>
      <c r="AA91" t="s">
        <v>156</v>
      </c>
      <c r="AB91" t="s">
        <v>11</v>
      </c>
      <c r="AC91" t="s">
        <v>11</v>
      </c>
      <c r="AD91" t="s">
        <v>11</v>
      </c>
    </row>
    <row r="92" spans="1:30" x14ac:dyDescent="0.3">
      <c r="A92">
        <v>34034</v>
      </c>
      <c r="B92" t="s">
        <v>213</v>
      </c>
      <c r="C92" t="s">
        <v>214</v>
      </c>
      <c r="D92" t="s">
        <v>453</v>
      </c>
      <c r="E92" t="s">
        <v>454</v>
      </c>
      <c r="F92">
        <v>4</v>
      </c>
      <c r="G92" t="s">
        <v>21</v>
      </c>
      <c r="H92">
        <v>1</v>
      </c>
      <c r="I92">
        <v>6</v>
      </c>
      <c r="J92">
        <v>4</v>
      </c>
      <c r="K92">
        <v>0</v>
      </c>
      <c r="L92">
        <v>900</v>
      </c>
      <c r="M92">
        <v>0</v>
      </c>
      <c r="N92">
        <v>0</v>
      </c>
      <c r="O92" t="s">
        <v>22</v>
      </c>
      <c r="P92">
        <v>0</v>
      </c>
      <c r="V92" t="b">
        <v>0</v>
      </c>
      <c r="W92">
        <v>937500</v>
      </c>
      <c r="X92">
        <v>0</v>
      </c>
      <c r="Y92" t="s">
        <v>11</v>
      </c>
      <c r="Z92">
        <v>0</v>
      </c>
      <c r="AA92" t="s">
        <v>400</v>
      </c>
      <c r="AB92" t="s">
        <v>11</v>
      </c>
      <c r="AC92" t="s">
        <v>11</v>
      </c>
      <c r="AD92" t="s">
        <v>11</v>
      </c>
    </row>
    <row r="93" spans="1:30" x14ac:dyDescent="0.3">
      <c r="A93">
        <v>34035</v>
      </c>
      <c r="B93" t="s">
        <v>215</v>
      </c>
      <c r="C93" t="s">
        <v>216</v>
      </c>
      <c r="D93" t="s">
        <v>455</v>
      </c>
      <c r="E93" t="s">
        <v>456</v>
      </c>
      <c r="F93">
        <v>4</v>
      </c>
      <c r="G93" t="s">
        <v>21</v>
      </c>
      <c r="H93">
        <v>1</v>
      </c>
      <c r="I93">
        <v>6</v>
      </c>
      <c r="J93">
        <v>4</v>
      </c>
      <c r="K93">
        <v>0</v>
      </c>
      <c r="L93">
        <v>800</v>
      </c>
      <c r="M93">
        <v>0</v>
      </c>
      <c r="N93">
        <v>0</v>
      </c>
      <c r="O93" t="s">
        <v>22</v>
      </c>
      <c r="P93">
        <v>0</v>
      </c>
      <c r="V93" t="b">
        <v>0</v>
      </c>
      <c r="W93">
        <v>1406250</v>
      </c>
      <c r="X93">
        <v>0</v>
      </c>
      <c r="Y93" t="s">
        <v>11</v>
      </c>
      <c r="Z93">
        <v>0</v>
      </c>
      <c r="AA93" t="s">
        <v>161</v>
      </c>
      <c r="AB93" t="s">
        <v>11</v>
      </c>
      <c r="AC93" t="s">
        <v>11</v>
      </c>
      <c r="AD93" t="s">
        <v>11</v>
      </c>
    </row>
    <row r="94" spans="1:30" x14ac:dyDescent="0.3">
      <c r="A94">
        <v>34036</v>
      </c>
      <c r="B94" t="s">
        <v>217</v>
      </c>
      <c r="C94" t="s">
        <v>218</v>
      </c>
      <c r="D94" t="s">
        <v>457</v>
      </c>
      <c r="E94" t="s">
        <v>458</v>
      </c>
      <c r="F94">
        <v>4</v>
      </c>
      <c r="G94" t="s">
        <v>21</v>
      </c>
      <c r="H94">
        <v>1</v>
      </c>
      <c r="I94">
        <v>6</v>
      </c>
      <c r="J94">
        <v>4</v>
      </c>
      <c r="K94">
        <v>0</v>
      </c>
      <c r="L94">
        <v>750</v>
      </c>
      <c r="M94">
        <v>0</v>
      </c>
      <c r="N94">
        <v>0</v>
      </c>
      <c r="O94" t="s">
        <v>22</v>
      </c>
      <c r="P94">
        <v>0</v>
      </c>
      <c r="Q94" t="s">
        <v>277</v>
      </c>
      <c r="R94" t="s">
        <v>278</v>
      </c>
      <c r="S94" t="s">
        <v>279</v>
      </c>
      <c r="T94" t="s">
        <v>280</v>
      </c>
      <c r="U94" t="s">
        <v>281</v>
      </c>
      <c r="V94" t="b">
        <v>0</v>
      </c>
      <c r="W94">
        <v>1875000</v>
      </c>
      <c r="X94">
        <v>0</v>
      </c>
      <c r="Y94" t="s">
        <v>11</v>
      </c>
      <c r="Z94">
        <v>0</v>
      </c>
      <c r="AA94" t="s">
        <v>164</v>
      </c>
      <c r="AB94" t="s">
        <v>11</v>
      </c>
      <c r="AC94" t="s">
        <v>11</v>
      </c>
      <c r="AD94" t="s">
        <v>11</v>
      </c>
    </row>
    <row r="95" spans="1:30" x14ac:dyDescent="0.3">
      <c r="A95">
        <v>35000</v>
      </c>
      <c r="B95" t="s">
        <v>459</v>
      </c>
      <c r="C95" t="s">
        <v>460</v>
      </c>
      <c r="D95" t="s">
        <v>461</v>
      </c>
      <c r="E95" t="s">
        <v>462</v>
      </c>
      <c r="F95">
        <v>0</v>
      </c>
      <c r="G95" t="s">
        <v>219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22</v>
      </c>
      <c r="P95">
        <v>0</v>
      </c>
      <c r="V95" t="b">
        <v>1</v>
      </c>
      <c r="W95">
        <v>100000</v>
      </c>
      <c r="X95">
        <v>2</v>
      </c>
      <c r="Y95" t="s">
        <v>11</v>
      </c>
      <c r="Z95">
        <v>0</v>
      </c>
      <c r="AA95" t="s">
        <v>463</v>
      </c>
      <c r="AB95" t="s">
        <v>464</v>
      </c>
      <c r="AC95" t="s">
        <v>465</v>
      </c>
      <c r="AD95" t="s">
        <v>466</v>
      </c>
    </row>
    <row r="96" spans="1:30" x14ac:dyDescent="0.3">
      <c r="A96">
        <v>36000</v>
      </c>
      <c r="B96" t="s">
        <v>467</v>
      </c>
      <c r="C96" t="s">
        <v>468</v>
      </c>
      <c r="D96" t="s">
        <v>469</v>
      </c>
      <c r="E96" t="s">
        <v>470</v>
      </c>
      <c r="F96">
        <v>0</v>
      </c>
      <c r="G96" t="s">
        <v>220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22</v>
      </c>
      <c r="P96">
        <v>0</v>
      </c>
      <c r="Q96" t="s">
        <v>11</v>
      </c>
      <c r="T96" t="s">
        <v>11</v>
      </c>
      <c r="U96" t="s">
        <v>11</v>
      </c>
      <c r="V96" t="b">
        <v>1</v>
      </c>
      <c r="W96">
        <v>1000</v>
      </c>
      <c r="X96">
        <v>0</v>
      </c>
      <c r="Y96" t="s">
        <v>11</v>
      </c>
      <c r="Z96">
        <v>0</v>
      </c>
      <c r="AA96" t="s">
        <v>471</v>
      </c>
      <c r="AB96" t="s">
        <v>11</v>
      </c>
      <c r="AC96" t="s">
        <v>11</v>
      </c>
      <c r="AD96" t="s">
        <v>11</v>
      </c>
    </row>
    <row r="97" spans="1:30" x14ac:dyDescent="0.3">
      <c r="A97">
        <v>36001</v>
      </c>
      <c r="B97" t="s">
        <v>472</v>
      </c>
      <c r="C97" t="s">
        <v>221</v>
      </c>
      <c r="D97" t="s">
        <v>473</v>
      </c>
      <c r="E97" t="s">
        <v>474</v>
      </c>
      <c r="F97">
        <v>0</v>
      </c>
      <c r="G97" t="s">
        <v>220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22</v>
      </c>
      <c r="P97">
        <v>0</v>
      </c>
      <c r="Q97" t="s">
        <v>11</v>
      </c>
      <c r="T97" t="s">
        <v>11</v>
      </c>
      <c r="U97" t="s">
        <v>11</v>
      </c>
      <c r="V97" t="b">
        <v>1</v>
      </c>
      <c r="W97">
        <v>5000</v>
      </c>
      <c r="X97">
        <v>0</v>
      </c>
      <c r="Y97" t="s">
        <v>11</v>
      </c>
      <c r="Z97">
        <v>0</v>
      </c>
      <c r="AA97" t="s">
        <v>475</v>
      </c>
      <c r="AB97" t="s">
        <v>11</v>
      </c>
      <c r="AC97" t="s">
        <v>11</v>
      </c>
      <c r="AD97" t="s">
        <v>11</v>
      </c>
    </row>
    <row r="98" spans="1:30" x14ac:dyDescent="0.3">
      <c r="A98">
        <v>38000</v>
      </c>
      <c r="B98" t="s">
        <v>476</v>
      </c>
      <c r="C98" t="s">
        <v>477</v>
      </c>
      <c r="D98" t="s">
        <v>478</v>
      </c>
      <c r="E98" t="s">
        <v>479</v>
      </c>
      <c r="F98">
        <v>0</v>
      </c>
      <c r="G98" t="s">
        <v>222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22</v>
      </c>
      <c r="P98">
        <v>0</v>
      </c>
      <c r="Q98" t="s">
        <v>11</v>
      </c>
      <c r="T98" t="s">
        <v>11</v>
      </c>
      <c r="U98" t="s">
        <v>11</v>
      </c>
      <c r="V98" t="b">
        <v>1</v>
      </c>
      <c r="W98">
        <v>10</v>
      </c>
      <c r="X98">
        <v>0</v>
      </c>
      <c r="Y98" t="s">
        <v>11</v>
      </c>
      <c r="Z98">
        <v>0</v>
      </c>
      <c r="AA98" t="s">
        <v>463</v>
      </c>
      <c r="AB98" t="s">
        <v>11</v>
      </c>
      <c r="AC98" t="s">
        <v>11</v>
      </c>
      <c r="AD98" t="s">
        <v>11</v>
      </c>
    </row>
    <row r="99" spans="1:30" x14ac:dyDescent="0.3">
      <c r="A99">
        <v>38500</v>
      </c>
      <c r="B99" t="s">
        <v>480</v>
      </c>
      <c r="C99" t="s">
        <v>481</v>
      </c>
      <c r="D99" t="s">
        <v>482</v>
      </c>
      <c r="E99" t="s">
        <v>483</v>
      </c>
      <c r="F99">
        <v>0</v>
      </c>
      <c r="G99" t="s">
        <v>223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22</v>
      </c>
      <c r="P99">
        <v>0</v>
      </c>
      <c r="Q99" t="s">
        <v>11</v>
      </c>
      <c r="T99" t="s">
        <v>11</v>
      </c>
      <c r="U99" t="s">
        <v>11</v>
      </c>
      <c r="V99" t="b">
        <v>1</v>
      </c>
      <c r="W99">
        <v>10</v>
      </c>
      <c r="X99">
        <v>0</v>
      </c>
      <c r="Y99" t="s">
        <v>11</v>
      </c>
      <c r="Z99">
        <v>0</v>
      </c>
      <c r="AA99" t="s">
        <v>463</v>
      </c>
      <c r="AB99" t="s">
        <v>11</v>
      </c>
      <c r="AC99" t="s">
        <v>11</v>
      </c>
      <c r="AD99" t="s">
        <v>11</v>
      </c>
    </row>
    <row r="100" spans="1:30" x14ac:dyDescent="0.3">
      <c r="A100">
        <v>39000</v>
      </c>
      <c r="B100" t="s">
        <v>484</v>
      </c>
      <c r="C100" t="s">
        <v>485</v>
      </c>
      <c r="D100" t="s">
        <v>486</v>
      </c>
      <c r="E100" t="s">
        <v>487</v>
      </c>
      <c r="F100">
        <v>0</v>
      </c>
      <c r="G100" t="s">
        <v>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224</v>
      </c>
      <c r="P100">
        <v>5</v>
      </c>
      <c r="Q100" t="s">
        <v>11</v>
      </c>
      <c r="T100" t="s">
        <v>11</v>
      </c>
      <c r="U100" t="s">
        <v>11</v>
      </c>
      <c r="V100" t="b">
        <v>1</v>
      </c>
      <c r="W100">
        <v>0</v>
      </c>
      <c r="X100">
        <v>150</v>
      </c>
      <c r="Y100" t="s">
        <v>11</v>
      </c>
      <c r="Z100">
        <v>0</v>
      </c>
      <c r="AA100" t="s">
        <v>488</v>
      </c>
      <c r="AB100" t="s">
        <v>11</v>
      </c>
      <c r="AC100" t="s">
        <v>11</v>
      </c>
      <c r="AD100" t="s">
        <v>11</v>
      </c>
    </row>
    <row r="101" spans="1:30" x14ac:dyDescent="0.3">
      <c r="A101">
        <v>39001</v>
      </c>
      <c r="B101" t="s">
        <v>489</v>
      </c>
      <c r="C101" t="s">
        <v>490</v>
      </c>
      <c r="D101" t="s">
        <v>491</v>
      </c>
      <c r="E101" t="s">
        <v>492</v>
      </c>
      <c r="F101">
        <v>0</v>
      </c>
      <c r="G101" t="s">
        <v>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225</v>
      </c>
      <c r="P101">
        <v>1</v>
      </c>
      <c r="Q101" t="s">
        <v>11</v>
      </c>
      <c r="T101" t="s">
        <v>11</v>
      </c>
      <c r="U101" t="s">
        <v>11</v>
      </c>
      <c r="V101" t="b">
        <v>1</v>
      </c>
      <c r="W101">
        <v>0</v>
      </c>
      <c r="X101">
        <v>150</v>
      </c>
      <c r="Y101" t="s">
        <v>11</v>
      </c>
      <c r="Z101">
        <v>0</v>
      </c>
      <c r="AA101" t="s">
        <v>226</v>
      </c>
      <c r="AB101" t="s">
        <v>11</v>
      </c>
      <c r="AC101" t="s">
        <v>11</v>
      </c>
      <c r="AD101" t="s">
        <v>11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맵 보상 기준</vt:lpstr>
      <vt:lpstr>설정</vt:lpstr>
      <vt:lpstr>Table_Data_Item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DongEon</dc:creator>
  <cp:lastModifiedBy>DongEon</cp:lastModifiedBy>
  <dcterms:created xsi:type="dcterms:W3CDTF">2016-10-11T16:04:18Z</dcterms:created>
  <dcterms:modified xsi:type="dcterms:W3CDTF">2016-10-11T18:10:14Z</dcterms:modified>
</cp:coreProperties>
</file>