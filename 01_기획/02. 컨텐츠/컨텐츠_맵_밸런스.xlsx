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075" windowHeight="25155" tabRatio="680"/>
  </bookViews>
  <sheets>
    <sheet name="맵 밸런스" sheetId="2" r:id="rId1"/>
    <sheet name="표준캐릭터설정" sheetId="1" r:id="rId2"/>
    <sheet name="설정" sheetId="3" r:id="rId3"/>
    <sheet name="Table_Data_Character" sheetId="4" r:id="rId4"/>
    <sheet name="Table_Data_Item" sheetId="5" r:id="rId5"/>
    <sheet name="Table_Data_Map" sheetId="6" r:id="rId6"/>
  </sheets>
  <externalReferences>
    <externalReference r:id="rId7"/>
  </externalReferences>
  <calcPr calcId="145621"/>
</workbook>
</file>

<file path=xl/calcChain.xml><?xml version="1.0" encoding="utf-8"?>
<calcChain xmlns="http://schemas.openxmlformats.org/spreadsheetml/2006/main">
  <c r="B81" i="2" l="1"/>
  <c r="C81" i="2"/>
  <c r="D81" i="2" s="1"/>
  <c r="B44" i="2"/>
  <c r="C44" i="2"/>
  <c r="D44" i="2" s="1"/>
  <c r="B45" i="2"/>
  <c r="C45" i="2"/>
  <c r="D45" i="2" s="1"/>
  <c r="E45" i="2"/>
  <c r="L45" i="2" s="1"/>
  <c r="K45" i="2" s="1"/>
  <c r="B46" i="2"/>
  <c r="C46" i="2"/>
  <c r="D46" i="2" s="1"/>
  <c r="B47" i="2"/>
  <c r="C47" i="2"/>
  <c r="E47" i="2" s="1"/>
  <c r="L47" i="2" s="1"/>
  <c r="K47" i="2" s="1"/>
  <c r="B48" i="2"/>
  <c r="C48" i="2"/>
  <c r="D48" i="2" s="1"/>
  <c r="B49" i="2"/>
  <c r="C49" i="2"/>
  <c r="D49" i="2" s="1"/>
  <c r="B50" i="2"/>
  <c r="C50" i="2"/>
  <c r="D50" i="2" s="1"/>
  <c r="B51" i="2"/>
  <c r="C51" i="2"/>
  <c r="E51" i="2" s="1"/>
  <c r="L51" i="2" s="1"/>
  <c r="K51" i="2" s="1"/>
  <c r="B52" i="2"/>
  <c r="C52" i="2"/>
  <c r="D52" i="2" s="1"/>
  <c r="B53" i="2"/>
  <c r="C53" i="2"/>
  <c r="D53" i="2" s="1"/>
  <c r="B54" i="2"/>
  <c r="C54" i="2"/>
  <c r="D54" i="2" s="1"/>
  <c r="B55" i="2"/>
  <c r="C55" i="2"/>
  <c r="D55" i="2" s="1"/>
  <c r="B56" i="2"/>
  <c r="C56" i="2"/>
  <c r="D56" i="2" s="1"/>
  <c r="B57" i="2"/>
  <c r="C57" i="2"/>
  <c r="E57" i="2" s="1"/>
  <c r="L57" i="2" s="1"/>
  <c r="K57" i="2" s="1"/>
  <c r="B58" i="2"/>
  <c r="C58" i="2"/>
  <c r="D58" i="2" s="1"/>
  <c r="B59" i="2"/>
  <c r="C59" i="2"/>
  <c r="D59" i="2" s="1"/>
  <c r="B60" i="2"/>
  <c r="C60" i="2"/>
  <c r="D60" i="2" s="1"/>
  <c r="B61" i="2"/>
  <c r="C61" i="2"/>
  <c r="E61" i="2" s="1"/>
  <c r="B62" i="2"/>
  <c r="C62" i="2"/>
  <c r="D62" i="2" s="1"/>
  <c r="B63" i="2"/>
  <c r="C63" i="2"/>
  <c r="D63" i="2" s="1"/>
  <c r="B64" i="2"/>
  <c r="C64" i="2"/>
  <c r="D64" i="2" s="1"/>
  <c r="B65" i="2"/>
  <c r="C65" i="2"/>
  <c r="D65" i="2" s="1"/>
  <c r="B66" i="2"/>
  <c r="C66" i="2"/>
  <c r="D66" i="2" s="1"/>
  <c r="B67" i="2"/>
  <c r="C67" i="2"/>
  <c r="D67" i="2" s="1"/>
  <c r="B68" i="2"/>
  <c r="C68" i="2"/>
  <c r="D68" i="2" s="1"/>
  <c r="B69" i="2"/>
  <c r="C69" i="2"/>
  <c r="E69" i="2" s="1"/>
  <c r="L69" i="2" s="1"/>
  <c r="K69" i="2" s="1"/>
  <c r="B70" i="2"/>
  <c r="C70" i="2"/>
  <c r="D70" i="2" s="1"/>
  <c r="B71" i="2"/>
  <c r="C71" i="2"/>
  <c r="D71" i="2" s="1"/>
  <c r="B72" i="2"/>
  <c r="C72" i="2"/>
  <c r="D72" i="2" s="1"/>
  <c r="B73" i="2"/>
  <c r="C73" i="2"/>
  <c r="D73" i="2" s="1"/>
  <c r="B74" i="2"/>
  <c r="C74" i="2"/>
  <c r="D74" i="2" s="1"/>
  <c r="B75" i="2"/>
  <c r="C75" i="2"/>
  <c r="D75" i="2" s="1"/>
  <c r="B76" i="2"/>
  <c r="C76" i="2"/>
  <c r="D76" i="2" s="1"/>
  <c r="B77" i="2"/>
  <c r="C77" i="2"/>
  <c r="E77" i="2" s="1"/>
  <c r="L77" i="2" s="1"/>
  <c r="K77" i="2" s="1"/>
  <c r="B78" i="2"/>
  <c r="C78" i="2"/>
  <c r="D78" i="2" s="1"/>
  <c r="B79" i="2"/>
  <c r="C79" i="2"/>
  <c r="D79" i="2" s="1"/>
  <c r="B80" i="2"/>
  <c r="C80" i="2"/>
  <c r="D80" i="2" s="1"/>
  <c r="E81" i="2" l="1"/>
  <c r="L81" i="2" s="1"/>
  <c r="K81" i="2" s="1"/>
  <c r="E73" i="2"/>
  <c r="L73" i="2" s="1"/>
  <c r="K73" i="2" s="1"/>
  <c r="D61" i="2"/>
  <c r="D77" i="2"/>
  <c r="E65" i="2"/>
  <c r="L65" i="2" s="1"/>
  <c r="K65" i="2" s="1"/>
  <c r="D57" i="2"/>
  <c r="D51" i="2"/>
  <c r="D69" i="2"/>
  <c r="E49" i="2"/>
  <c r="L49" i="2" s="1"/>
  <c r="K49" i="2" s="1"/>
  <c r="E53" i="2"/>
  <c r="L53" i="2" s="1"/>
  <c r="K53" i="2" s="1"/>
  <c r="D47" i="2"/>
  <c r="E79" i="2"/>
  <c r="L79" i="2" s="1"/>
  <c r="K79" i="2" s="1"/>
  <c r="E75" i="2"/>
  <c r="L75" i="2" s="1"/>
  <c r="K75" i="2" s="1"/>
  <c r="E71" i="2"/>
  <c r="L71" i="2" s="1"/>
  <c r="K71" i="2" s="1"/>
  <c r="E67" i="2"/>
  <c r="L67" i="2" s="1"/>
  <c r="K67" i="2" s="1"/>
  <c r="E63" i="2"/>
  <c r="L63" i="2" s="1"/>
  <c r="K63" i="2" s="1"/>
  <c r="E59" i="2"/>
  <c r="L59" i="2" s="1"/>
  <c r="K59" i="2" s="1"/>
  <c r="E55" i="2"/>
  <c r="L55" i="2" s="1"/>
  <c r="K55" i="2" s="1"/>
  <c r="E80" i="2"/>
  <c r="L80" i="2" s="1"/>
  <c r="K80" i="2" s="1"/>
  <c r="E78" i="2"/>
  <c r="L78" i="2" s="1"/>
  <c r="K78" i="2" s="1"/>
  <c r="E76" i="2"/>
  <c r="L76" i="2" s="1"/>
  <c r="K76" i="2" s="1"/>
  <c r="E74" i="2"/>
  <c r="L74" i="2" s="1"/>
  <c r="K74" i="2" s="1"/>
  <c r="E72" i="2"/>
  <c r="L72" i="2" s="1"/>
  <c r="K72" i="2" s="1"/>
  <c r="E70" i="2"/>
  <c r="L70" i="2" s="1"/>
  <c r="K70" i="2" s="1"/>
  <c r="E68" i="2"/>
  <c r="L68" i="2" s="1"/>
  <c r="K68" i="2" s="1"/>
  <c r="E66" i="2"/>
  <c r="L66" i="2" s="1"/>
  <c r="K66" i="2" s="1"/>
  <c r="E64" i="2"/>
  <c r="L64" i="2" s="1"/>
  <c r="K64" i="2" s="1"/>
  <c r="E62" i="2"/>
  <c r="L62" i="2" s="1"/>
  <c r="K62" i="2" s="1"/>
  <c r="E60" i="2"/>
  <c r="L60" i="2" s="1"/>
  <c r="K60" i="2" s="1"/>
  <c r="E58" i="2"/>
  <c r="L58" i="2" s="1"/>
  <c r="K58" i="2" s="1"/>
  <c r="E56" i="2"/>
  <c r="L56" i="2" s="1"/>
  <c r="K56" i="2" s="1"/>
  <c r="E54" i="2"/>
  <c r="L54" i="2" s="1"/>
  <c r="K54" i="2" s="1"/>
  <c r="E52" i="2"/>
  <c r="L52" i="2" s="1"/>
  <c r="K52" i="2" s="1"/>
  <c r="E50" i="2"/>
  <c r="L50" i="2" s="1"/>
  <c r="K50" i="2" s="1"/>
  <c r="E48" i="2"/>
  <c r="L48" i="2" s="1"/>
  <c r="K48" i="2" s="1"/>
  <c r="E46" i="2"/>
  <c r="L46" i="2" s="1"/>
  <c r="K46" i="2" s="1"/>
  <c r="E44" i="2"/>
  <c r="L44" i="2" s="1"/>
  <c r="K44" i="2" s="1"/>
  <c r="B9" i="2" l="1"/>
  <c r="C9" i="2"/>
  <c r="E9" i="2" s="1"/>
  <c r="L9" i="2" s="1"/>
  <c r="B10" i="2"/>
  <c r="C10" i="2"/>
  <c r="E10" i="2" s="1"/>
  <c r="B11" i="2"/>
  <c r="C11" i="2"/>
  <c r="E11" i="2" s="1"/>
  <c r="B12" i="2"/>
  <c r="C12" i="2"/>
  <c r="D12" i="2" s="1"/>
  <c r="B13" i="2"/>
  <c r="C13" i="2"/>
  <c r="E13" i="2" s="1"/>
  <c r="L13" i="2" s="1"/>
  <c r="B14" i="2"/>
  <c r="C14" i="2"/>
  <c r="D14" i="2" s="1"/>
  <c r="B15" i="2"/>
  <c r="C15" i="2"/>
  <c r="E15" i="2" s="1"/>
  <c r="L15" i="2" s="1"/>
  <c r="B16" i="2"/>
  <c r="C16" i="2"/>
  <c r="D16" i="2" s="1"/>
  <c r="B17" i="2"/>
  <c r="C17" i="2"/>
  <c r="E17" i="2" s="1"/>
  <c r="L17" i="2" s="1"/>
  <c r="B18" i="2"/>
  <c r="C18" i="2"/>
  <c r="E18" i="2" s="1"/>
  <c r="L18" i="2" s="1"/>
  <c r="B19" i="2"/>
  <c r="C19" i="2"/>
  <c r="E19" i="2" s="1"/>
  <c r="B20" i="2"/>
  <c r="C20" i="2"/>
  <c r="D20" i="2" s="1"/>
  <c r="B21" i="2"/>
  <c r="C21" i="2"/>
  <c r="E21" i="2" s="1"/>
  <c r="L21" i="2" s="1"/>
  <c r="B22" i="2"/>
  <c r="C22" i="2"/>
  <c r="D22" i="2" s="1"/>
  <c r="B23" i="2"/>
  <c r="C23" i="2"/>
  <c r="E23" i="2" s="1"/>
  <c r="L23" i="2" s="1"/>
  <c r="B24" i="2"/>
  <c r="C24" i="2"/>
  <c r="D24" i="2" s="1"/>
  <c r="B25" i="2"/>
  <c r="C25" i="2"/>
  <c r="E25" i="2" s="1"/>
  <c r="L25" i="2" s="1"/>
  <c r="B26" i="2"/>
  <c r="C26" i="2"/>
  <c r="E26" i="2" s="1"/>
  <c r="L26" i="2" s="1"/>
  <c r="B27" i="2"/>
  <c r="C27" i="2"/>
  <c r="E27" i="2" s="1"/>
  <c r="L27" i="2" s="1"/>
  <c r="B28" i="2"/>
  <c r="C28" i="2"/>
  <c r="D28" i="2" s="1"/>
  <c r="B29" i="2"/>
  <c r="C29" i="2"/>
  <c r="E29" i="2" s="1"/>
  <c r="L29" i="2" s="1"/>
  <c r="B30" i="2"/>
  <c r="C30" i="2"/>
  <c r="D30" i="2" s="1"/>
  <c r="B31" i="2"/>
  <c r="C31" i="2"/>
  <c r="E31" i="2" s="1"/>
  <c r="L31" i="2" s="1"/>
  <c r="B32" i="2"/>
  <c r="C32" i="2"/>
  <c r="D32" i="2" s="1"/>
  <c r="B33" i="2"/>
  <c r="C33" i="2"/>
  <c r="E33" i="2" s="1"/>
  <c r="L33" i="2" s="1"/>
  <c r="B34" i="2"/>
  <c r="C34" i="2"/>
  <c r="E34" i="2" s="1"/>
  <c r="L34" i="2" s="1"/>
  <c r="B35" i="2"/>
  <c r="C35" i="2"/>
  <c r="E35" i="2" s="1"/>
  <c r="L35" i="2" s="1"/>
  <c r="B36" i="2"/>
  <c r="C36" i="2"/>
  <c r="D36" i="2" s="1"/>
  <c r="B37" i="2"/>
  <c r="C37" i="2"/>
  <c r="E37" i="2" s="1"/>
  <c r="L37" i="2" s="1"/>
  <c r="B38" i="2"/>
  <c r="C38" i="2"/>
  <c r="D38" i="2" s="1"/>
  <c r="E38" i="2"/>
  <c r="L38" i="2" s="1"/>
  <c r="B39" i="2"/>
  <c r="C39" i="2"/>
  <c r="E39" i="2" s="1"/>
  <c r="L39" i="2" s="1"/>
  <c r="B40" i="2"/>
  <c r="C40" i="2"/>
  <c r="D40" i="2" s="1"/>
  <c r="B41" i="2"/>
  <c r="C41" i="2"/>
  <c r="E41" i="2" s="1"/>
  <c r="L41" i="2" s="1"/>
  <c r="B42" i="2"/>
  <c r="C42" i="2"/>
  <c r="E42" i="2" s="1"/>
  <c r="B43" i="2"/>
  <c r="C43" i="2"/>
  <c r="E43" i="2" s="1"/>
  <c r="L43" i="2" s="1"/>
  <c r="E24" i="2" l="1"/>
  <c r="L24" i="2" s="1"/>
  <c r="K24" i="2" s="1"/>
  <c r="D43" i="2"/>
  <c r="E32" i="2"/>
  <c r="L32" i="2" s="1"/>
  <c r="D19" i="2"/>
  <c r="D11" i="2"/>
  <c r="D27" i="2"/>
  <c r="E22" i="2"/>
  <c r="L22" i="2" s="1"/>
  <c r="K22" i="2" s="1"/>
  <c r="E40" i="2"/>
  <c r="L40" i="2" s="1"/>
  <c r="K40" i="2" s="1"/>
  <c r="D35" i="2"/>
  <c r="E16" i="2"/>
  <c r="L16" i="2" s="1"/>
  <c r="E30" i="2"/>
  <c r="E14" i="2"/>
  <c r="L14" i="2" s="1"/>
  <c r="K14" i="2" s="1"/>
  <c r="D34" i="2"/>
  <c r="D31" i="2"/>
  <c r="D18" i="2"/>
  <c r="D15" i="2"/>
  <c r="D42" i="2"/>
  <c r="D39" i="2"/>
  <c r="D26" i="2"/>
  <c r="D23" i="2"/>
  <c r="D10" i="2"/>
  <c r="L10" i="2"/>
  <c r="K10" i="2" s="1"/>
  <c r="D41" i="2"/>
  <c r="D33" i="2"/>
  <c r="D25" i="2"/>
  <c r="D17" i="2"/>
  <c r="D9" i="2"/>
  <c r="E28" i="2"/>
  <c r="L28" i="2" s="1"/>
  <c r="K28" i="2" s="1"/>
  <c r="E20" i="2"/>
  <c r="L20" i="2" s="1"/>
  <c r="K20" i="2" s="1"/>
  <c r="E12" i="2"/>
  <c r="L12" i="2" s="1"/>
  <c r="K12" i="2" s="1"/>
  <c r="E36" i="2"/>
  <c r="L36" i="2" s="1"/>
  <c r="K36" i="2" s="1"/>
  <c r="D37" i="2"/>
  <c r="D29" i="2"/>
  <c r="D21" i="2"/>
  <c r="L19" i="2"/>
  <c r="K19" i="2" s="1"/>
  <c r="D13" i="2"/>
  <c r="L11" i="2"/>
  <c r="K11" i="2" s="1"/>
  <c r="K43" i="2"/>
  <c r="K39" i="2"/>
  <c r="K38" i="2"/>
  <c r="K35" i="2"/>
  <c r="K34" i="2"/>
  <c r="K32" i="2"/>
  <c r="K31" i="2"/>
  <c r="K27" i="2"/>
  <c r="K26" i="2"/>
  <c r="K23" i="2"/>
  <c r="K18" i="2"/>
  <c r="K16" i="2"/>
  <c r="K15" i="2"/>
  <c r="K29" i="2"/>
  <c r="K41" i="2"/>
  <c r="K33" i="2"/>
  <c r="K25" i="2"/>
  <c r="K17" i="2"/>
  <c r="K9" i="2"/>
  <c r="K21" i="2"/>
  <c r="K37" i="2"/>
  <c r="K13" i="2"/>
  <c r="G7" i="1"/>
  <c r="H7" i="1"/>
  <c r="I7" i="1"/>
  <c r="J7" i="1"/>
  <c r="K7" i="1"/>
  <c r="M7" i="1"/>
  <c r="N7" i="1"/>
  <c r="O7" i="1"/>
  <c r="P7" i="1"/>
  <c r="Q7" i="1"/>
  <c r="R7" i="1"/>
  <c r="T7" i="1"/>
  <c r="U7" i="1"/>
  <c r="V7" i="1"/>
  <c r="W7" i="1"/>
  <c r="X7" i="1"/>
  <c r="Y7" i="1"/>
  <c r="AA7" i="1"/>
  <c r="AB7" i="1"/>
  <c r="AC7" i="1"/>
  <c r="AD7" i="1"/>
  <c r="AE7" i="1"/>
  <c r="AF7" i="1"/>
  <c r="AH7" i="1"/>
  <c r="AI7" i="1"/>
  <c r="AJ7" i="1"/>
  <c r="AK7" i="1"/>
  <c r="AL7" i="1"/>
  <c r="AM7" i="1"/>
  <c r="B3" i="2"/>
  <c r="C3" i="2"/>
  <c r="B4" i="2"/>
  <c r="C4" i="2"/>
  <c r="B5" i="2"/>
  <c r="C5" i="2"/>
  <c r="B6" i="2"/>
  <c r="C6" i="2"/>
  <c r="B7" i="2"/>
  <c r="C7" i="2"/>
  <c r="B8" i="2"/>
  <c r="C8" i="2"/>
  <c r="C2" i="2"/>
  <c r="B2" i="2"/>
  <c r="D2" i="2" l="1"/>
  <c r="E2" i="2"/>
  <c r="L2" i="2" s="1"/>
  <c r="K2" i="2" s="1"/>
  <c r="D4" i="2"/>
  <c r="E4" i="2"/>
  <c r="L4" i="2" s="1"/>
  <c r="K4" i="2" s="1"/>
  <c r="D6" i="2"/>
  <c r="E6" i="2"/>
  <c r="L6" i="2" s="1"/>
  <c r="K6" i="2" s="1"/>
  <c r="D8" i="2"/>
  <c r="E8" i="2"/>
  <c r="L8" i="2" s="1"/>
  <c r="K8" i="2" s="1"/>
  <c r="E7" i="2"/>
  <c r="L7" i="2" s="1"/>
  <c r="K7" i="2" s="1"/>
  <c r="D7" i="2"/>
  <c r="E5" i="2"/>
  <c r="L5" i="2" s="1"/>
  <c r="K5" i="2" s="1"/>
  <c r="D5" i="2"/>
  <c r="E3" i="2"/>
  <c r="D3" i="2"/>
  <c r="C7" i="1"/>
  <c r="B7" i="1"/>
  <c r="D7" i="1" s="1"/>
  <c r="E7" i="1"/>
  <c r="L3" i="2" l="1"/>
  <c r="K3" i="2" s="1"/>
  <c r="G4" i="1"/>
  <c r="H4" i="1"/>
  <c r="I4" i="1"/>
  <c r="J4" i="1"/>
  <c r="K4" i="1"/>
  <c r="M4" i="1"/>
  <c r="N4" i="1"/>
  <c r="O4" i="1"/>
  <c r="P4" i="1"/>
  <c r="Q4" i="1"/>
  <c r="R4" i="1"/>
  <c r="T4" i="1"/>
  <c r="U4" i="1"/>
  <c r="V4" i="1"/>
  <c r="W4" i="1"/>
  <c r="X4" i="1"/>
  <c r="Y4" i="1"/>
  <c r="AA4" i="1"/>
  <c r="AB4" i="1"/>
  <c r="AC4" i="1"/>
  <c r="AD4" i="1"/>
  <c r="AE4" i="1"/>
  <c r="AF4" i="1"/>
  <c r="AH4" i="1"/>
  <c r="AI4" i="1"/>
  <c r="AJ4" i="1"/>
  <c r="AK4" i="1"/>
  <c r="AL4" i="1"/>
  <c r="AM4" i="1"/>
  <c r="G5" i="1"/>
  <c r="H5" i="1"/>
  <c r="I5" i="1"/>
  <c r="J5" i="1"/>
  <c r="K5" i="1"/>
  <c r="M5" i="1"/>
  <c r="N5" i="1"/>
  <c r="O5" i="1"/>
  <c r="P5" i="1"/>
  <c r="Q5" i="1"/>
  <c r="R5" i="1"/>
  <c r="T5" i="1"/>
  <c r="U5" i="1"/>
  <c r="V5" i="1"/>
  <c r="W5" i="1"/>
  <c r="X5" i="1"/>
  <c r="Y5" i="1"/>
  <c r="AA5" i="1"/>
  <c r="AB5" i="1"/>
  <c r="AC5" i="1"/>
  <c r="AD5" i="1"/>
  <c r="AE5" i="1"/>
  <c r="AF5" i="1"/>
  <c r="AH5" i="1"/>
  <c r="AI5" i="1"/>
  <c r="AJ5" i="1"/>
  <c r="AK5" i="1"/>
  <c r="AL5" i="1"/>
  <c r="AM5" i="1"/>
  <c r="G6" i="1"/>
  <c r="H6" i="1"/>
  <c r="I6" i="1"/>
  <c r="J6" i="1"/>
  <c r="K6" i="1"/>
  <c r="M6" i="1"/>
  <c r="N6" i="1"/>
  <c r="O6" i="1"/>
  <c r="P6" i="1"/>
  <c r="Q6" i="1"/>
  <c r="R6" i="1"/>
  <c r="T6" i="1"/>
  <c r="U6" i="1"/>
  <c r="V6" i="1"/>
  <c r="W6" i="1"/>
  <c r="X6" i="1"/>
  <c r="Y6" i="1"/>
  <c r="AA6" i="1"/>
  <c r="AB6" i="1"/>
  <c r="AC6" i="1"/>
  <c r="AD6" i="1"/>
  <c r="AE6" i="1"/>
  <c r="AF6" i="1"/>
  <c r="AH6" i="1"/>
  <c r="AI6" i="1"/>
  <c r="AJ6" i="1"/>
  <c r="AK6" i="1"/>
  <c r="AL6" i="1"/>
  <c r="AM6" i="1"/>
  <c r="AF3" i="1"/>
  <c r="AE3" i="1"/>
  <c r="AD3" i="1"/>
  <c r="AC3" i="1"/>
  <c r="AB3" i="1"/>
  <c r="AA3" i="1"/>
  <c r="AM3" i="1"/>
  <c r="AL3" i="1"/>
  <c r="AK3" i="1"/>
  <c r="AJ3" i="1"/>
  <c r="AI3" i="1"/>
  <c r="AH3" i="1"/>
  <c r="Y3" i="1"/>
  <c r="X3" i="1"/>
  <c r="W3" i="1"/>
  <c r="V3" i="1"/>
  <c r="U3" i="1"/>
  <c r="T3" i="1"/>
  <c r="R3" i="1"/>
  <c r="Q3" i="1"/>
  <c r="P3" i="1"/>
  <c r="O3" i="1"/>
  <c r="N3" i="1"/>
  <c r="M3" i="1"/>
  <c r="B5" i="1" l="1"/>
  <c r="D5" i="1" s="1"/>
  <c r="B6" i="1"/>
  <c r="D6" i="1" s="1"/>
  <c r="E5" i="1"/>
  <c r="C5" i="1"/>
  <c r="E4" i="1"/>
  <c r="C4" i="1"/>
  <c r="B4" i="1"/>
  <c r="D4" i="1" s="1"/>
  <c r="E6" i="1"/>
  <c r="C6" i="1"/>
  <c r="K3" i="1" l="1"/>
  <c r="J3" i="1"/>
  <c r="I3" i="1"/>
  <c r="H3" i="1"/>
  <c r="G3" i="1"/>
  <c r="B3" i="1" s="1"/>
  <c r="E3" i="1" l="1"/>
  <c r="C3" i="1"/>
  <c r="D3" i="1" s="1"/>
</calcChain>
</file>

<file path=xl/sharedStrings.xml><?xml version="1.0" encoding="utf-8"?>
<sst xmlns="http://schemas.openxmlformats.org/spreadsheetml/2006/main" count="2814" uniqueCount="1222">
  <si>
    <t>등급</t>
    <phoneticPr fontId="2" type="noConversion"/>
  </si>
  <si>
    <t>골드</t>
    <phoneticPr fontId="2" type="noConversion"/>
  </si>
  <si>
    <t>실버</t>
    <phoneticPr fontId="2" type="noConversion"/>
  </si>
  <si>
    <t>캐릭터</t>
    <phoneticPr fontId="2" type="noConversion"/>
  </si>
  <si>
    <t>이름</t>
    <phoneticPr fontId="2" type="noConversion"/>
  </si>
  <si>
    <t>힘</t>
    <phoneticPr fontId="2" type="noConversion"/>
  </si>
  <si>
    <t>민첩</t>
    <phoneticPr fontId="2" type="noConversion"/>
  </si>
  <si>
    <t>지력</t>
    <phoneticPr fontId="2" type="noConversion"/>
  </si>
  <si>
    <t>체력</t>
    <phoneticPr fontId="2" type="noConversion"/>
  </si>
  <si>
    <t>행운</t>
    <phoneticPr fontId="2" type="noConversion"/>
  </si>
  <si>
    <t>무기</t>
    <phoneticPr fontId="2" type="noConversion"/>
  </si>
  <si>
    <t>SATK</t>
  </si>
  <si>
    <t>LATK</t>
  </si>
  <si>
    <t>DEF</t>
  </si>
  <si>
    <t>ASPD</t>
  </si>
  <si>
    <t>SPD</t>
  </si>
  <si>
    <t>HP</t>
  </si>
  <si>
    <t>갑옷</t>
    <phoneticPr fontId="2" type="noConversion"/>
  </si>
  <si>
    <t>신발</t>
    <phoneticPr fontId="2" type="noConversion"/>
  </si>
  <si>
    <t>장신구</t>
    <phoneticPr fontId="2" type="noConversion"/>
  </si>
  <si>
    <t>공격력</t>
    <phoneticPr fontId="2" type="noConversion"/>
  </si>
  <si>
    <t>이동속도</t>
    <phoneticPr fontId="2" type="noConversion"/>
  </si>
  <si>
    <t>기본이동속도</t>
    <phoneticPr fontId="2" type="noConversion"/>
  </si>
  <si>
    <t>POW</t>
  </si>
  <si>
    <t>DEX</t>
  </si>
  <si>
    <t>CON</t>
  </si>
  <si>
    <t>LUC</t>
  </si>
  <si>
    <t>RND_POW</t>
  </si>
  <si>
    <t>RND_DEX</t>
  </si>
  <si>
    <t>RND_INT</t>
  </si>
  <si>
    <t>RND_CON</t>
  </si>
  <si>
    <t>RND_LUC</t>
  </si>
  <si>
    <t>Option_2</t>
  </si>
  <si>
    <t>Option_3</t>
  </si>
  <si>
    <t>Option_4</t>
  </si>
  <si>
    <t>Option_5</t>
  </si>
  <si>
    <t>Option_6</t>
  </si>
  <si>
    <t>Model</t>
  </si>
  <si>
    <t>기본 캐릭터 남</t>
    <phoneticPr fontId="2" type="noConversion"/>
  </si>
  <si>
    <t>cha_0004</t>
  </si>
  <si>
    <t>icon_item_6004</t>
  </si>
  <si>
    <t>cha_n_0002</t>
  </si>
  <si>
    <t/>
  </si>
  <si>
    <t>cha_0003</t>
  </si>
  <si>
    <t>icon_item_6003</t>
  </si>
  <si>
    <t>카인</t>
  </si>
  <si>
    <t>cha_d_0001</t>
  </si>
  <si>
    <t>cha_0020</t>
  </si>
  <si>
    <t>icon_item_6020</t>
  </si>
  <si>
    <t>아돌</t>
  </si>
  <si>
    <t>cha_d_0002</t>
  </si>
  <si>
    <t>cha_0021</t>
  </si>
  <si>
    <t>icon_item_6021</t>
  </si>
  <si>
    <t>샤나</t>
  </si>
  <si>
    <t>cha_d_0003</t>
  </si>
  <si>
    <t>cha_0017</t>
  </si>
  <si>
    <t>icon_item_6017</t>
  </si>
  <si>
    <t>스메라기</t>
  </si>
  <si>
    <t>cha_d_0004</t>
  </si>
  <si>
    <t>cha_0012</t>
  </si>
  <si>
    <t>icon_item_6012</t>
  </si>
  <si>
    <t>아스란</t>
  </si>
  <si>
    <t>cha_d_0005</t>
  </si>
  <si>
    <t>cha_0001</t>
  </si>
  <si>
    <t>icon_item_6001</t>
  </si>
  <si>
    <t>유고</t>
  </si>
  <si>
    <t>cha_c_0001</t>
  </si>
  <si>
    <t>cha_0019</t>
  </si>
  <si>
    <t>icon_item_6019</t>
  </si>
  <si>
    <t>미하엘</t>
  </si>
  <si>
    <t>cha_c_0002</t>
  </si>
  <si>
    <t>cha_0016</t>
  </si>
  <si>
    <t>icon_item_6016</t>
  </si>
  <si>
    <t>다임</t>
  </si>
  <si>
    <t>cha_c_0003</t>
  </si>
  <si>
    <t>cha_0006</t>
  </si>
  <si>
    <t>icon_item_6006</t>
  </si>
  <si>
    <t>후미코</t>
  </si>
  <si>
    <t>cha_c_0004</t>
  </si>
  <si>
    <t>cha_0010</t>
  </si>
  <si>
    <t>icon_item_6010</t>
  </si>
  <si>
    <t>키라</t>
  </si>
  <si>
    <t>cha_c_0005</t>
  </si>
  <si>
    <t>cha_0023</t>
  </si>
  <si>
    <t>icon_item_6023</t>
  </si>
  <si>
    <t>메이슨</t>
  </si>
  <si>
    <t>cha_b_0001</t>
  </si>
  <si>
    <t>option_satk_02</t>
  </si>
  <si>
    <t>option_latk_02</t>
  </si>
  <si>
    <t>option_def_02</t>
  </si>
  <si>
    <t>option_aspd_02</t>
  </si>
  <si>
    <t>option_spd_02</t>
  </si>
  <si>
    <t>option_hp_02</t>
  </si>
  <si>
    <t>cha_0014</t>
  </si>
  <si>
    <t>icon_item_6014</t>
  </si>
  <si>
    <t>발자르</t>
  </si>
  <si>
    <t>cha_b_0002</t>
  </si>
  <si>
    <t>cha_0008</t>
  </si>
  <si>
    <t>icon_item_6008</t>
  </si>
  <si>
    <t>세실</t>
  </si>
  <si>
    <t>cha_b_0003</t>
  </si>
  <si>
    <t>cha_0015</t>
  </si>
  <si>
    <t>icon_item_6015</t>
  </si>
  <si>
    <t>에밀리오</t>
  </si>
  <si>
    <t>cha_b_0004</t>
  </si>
  <si>
    <t>cha_0009</t>
  </si>
  <si>
    <t>icon_item_6009</t>
  </si>
  <si>
    <t>조슈아</t>
  </si>
  <si>
    <t>cha_b_0005</t>
  </si>
  <si>
    <t>cha_0018</t>
  </si>
  <si>
    <t>icon_item_6018</t>
  </si>
  <si>
    <t>패트릭</t>
  </si>
  <si>
    <t>cha_a_0001</t>
  </si>
  <si>
    <t>option_satk_03</t>
  </si>
  <si>
    <t>option_latk_03</t>
  </si>
  <si>
    <t>option_def_03</t>
  </si>
  <si>
    <t>option_aspd_03</t>
  </si>
  <si>
    <t>option_spd_03</t>
  </si>
  <si>
    <t>option_hp_03</t>
  </si>
  <si>
    <t>cha_0011</t>
  </si>
  <si>
    <t>icon_item_6011</t>
  </si>
  <si>
    <t>앤드류</t>
  </si>
  <si>
    <t>cha_a_0002</t>
  </si>
  <si>
    <t>cha_0007</t>
  </si>
  <si>
    <t>icon_item_6007</t>
  </si>
  <si>
    <t>바르반</t>
  </si>
  <si>
    <t>cha_a_0003</t>
  </si>
  <si>
    <t>cha_0013</t>
  </si>
  <si>
    <t>icon_item_6013</t>
  </si>
  <si>
    <t>헤르미나</t>
  </si>
  <si>
    <t>cha_a_0004</t>
  </si>
  <si>
    <t>cha_0022</t>
  </si>
  <si>
    <t>icon_item_6022</t>
  </si>
  <si>
    <t>카네키</t>
  </si>
  <si>
    <t>cha_a_0005</t>
  </si>
  <si>
    <t>cha_0002</t>
  </si>
  <si>
    <t>icon_item_6002</t>
  </si>
  <si>
    <t>Id</t>
  </si>
  <si>
    <t>dev_name</t>
  </si>
  <si>
    <t>Name</t>
  </si>
  <si>
    <t>STR</t>
  </si>
  <si>
    <t>DESC</t>
  </si>
  <si>
    <t>Grade</t>
  </si>
  <si>
    <t>INT</t>
  </si>
  <si>
    <t>Option_1</t>
  </si>
  <si>
    <t>Icon</t>
  </si>
  <si>
    <t>기본 캐릭터 남</t>
  </si>
  <si>
    <t>cha_n_0001</t>
  </si>
  <si>
    <t>STR_CHA_N_0001</t>
  </si>
  <si>
    <t>STR_CHA_N_0001_DESC</t>
  </si>
  <si>
    <t>기본 캐릭터 여</t>
  </si>
  <si>
    <t>STR_CHA_N_0002</t>
  </si>
  <si>
    <t>STR_CHA_N_0002_DESC</t>
  </si>
  <si>
    <t>STR_CHA_D_0001</t>
  </si>
  <si>
    <t>STR_CHA_D_0001_DESC</t>
  </si>
  <si>
    <t>STR_CHA_D_0002</t>
  </si>
  <si>
    <t>STR_CHA_D_0002_DESC</t>
  </si>
  <si>
    <t>STR_CHA_D_0003</t>
  </si>
  <si>
    <t>STR_CHA_D_0003_DESC</t>
  </si>
  <si>
    <t>STR_CHA_D_0004</t>
  </si>
  <si>
    <t>STR_CHA_D_0004_DESC</t>
  </si>
  <si>
    <t>STR_CHA_D_0005</t>
  </si>
  <si>
    <t>STR_CHA_D_0005_DESC</t>
  </si>
  <si>
    <t>STR_CHA_C_0001</t>
  </si>
  <si>
    <t>STR_CHA_C_0001_DESC</t>
  </si>
  <si>
    <t>option_satk_01</t>
  </si>
  <si>
    <t>option_latk_01</t>
  </si>
  <si>
    <t>option_def_01</t>
  </si>
  <si>
    <t>option_aspd_01</t>
  </si>
  <si>
    <t>option_spd_01</t>
  </si>
  <si>
    <t>option_hp_01</t>
  </si>
  <si>
    <t>STR_CHA_C_0002</t>
  </si>
  <si>
    <t>STR_CHA_C_0002_DESC</t>
  </si>
  <si>
    <t>STR_CHA_C_0003</t>
  </si>
  <si>
    <t>STR_CHA_C_0003_DESC</t>
  </si>
  <si>
    <t>STR_CHA_C_0004</t>
  </si>
  <si>
    <t>STR_CHA_C_0004_DESC</t>
  </si>
  <si>
    <t>STR_CHA_C_0005</t>
  </si>
  <si>
    <t>STR_CHA_C_0005_DESC</t>
  </si>
  <si>
    <t>STR_CHA_B_0001</t>
  </si>
  <si>
    <t>STR_CHA_B_0001_DESC</t>
  </si>
  <si>
    <t>STR_CHA_B_0002</t>
  </si>
  <si>
    <t>STR_CHA_B_0002_DESC</t>
  </si>
  <si>
    <t>STR_CHA_B_0003</t>
  </si>
  <si>
    <t>STR_CHA_B_0003_DESC</t>
  </si>
  <si>
    <t>STR_CHA_B_0004</t>
  </si>
  <si>
    <t>STR_CHA_B_0004_DESC</t>
  </si>
  <si>
    <t>STR_CHA_B_0005</t>
  </si>
  <si>
    <t>STR_CHA_B_0005_DESC</t>
  </si>
  <si>
    <t>STR_CHA_A_0001</t>
  </si>
  <si>
    <t>STR_CHA_A_0001_DESC</t>
  </si>
  <si>
    <t>STR_CHA_A_0002</t>
  </si>
  <si>
    <t>STR_CHA_A_0002_DESC</t>
  </si>
  <si>
    <t>STR_CHA_A_0003</t>
  </si>
  <si>
    <t>STR_CHA_A_0003_DESC</t>
  </si>
  <si>
    <t>STR_CHA_A_0004</t>
  </si>
  <si>
    <t>STR_CHA_A_0004_DESC</t>
  </si>
  <si>
    <t>STR_CHA_A_0005</t>
  </si>
  <si>
    <t>STR_CHA_A_0005_DESC</t>
  </si>
  <si>
    <t>카인</t>
    <phoneticPr fontId="2" type="noConversion"/>
  </si>
  <si>
    <t>Drop_2</t>
  </si>
  <si>
    <t>Drop_3</t>
  </si>
  <si>
    <t>Potion</t>
  </si>
  <si>
    <t>ADD_HP</t>
  </si>
  <si>
    <t>item_potion_heal_02</t>
  </si>
  <si>
    <t>icon_item_0002</t>
  </si>
  <si>
    <t>item_potion_heal_03</t>
  </si>
  <si>
    <t>icon_item_0003</t>
  </si>
  <si>
    <t>item_potion_heal_04</t>
  </si>
  <si>
    <t>icon_item_0004</t>
  </si>
  <si>
    <t>item_potion_heal_05</t>
  </si>
  <si>
    <t>icon_item_0005</t>
  </si>
  <si>
    <t>낡은 옷</t>
  </si>
  <si>
    <t>Equip</t>
  </si>
  <si>
    <t>None</t>
  </si>
  <si>
    <t>가죽 갑옷</t>
  </si>
  <si>
    <t>item_equip_n_ar_02</t>
  </si>
  <si>
    <t>강화 가죽 갑옷</t>
  </si>
  <si>
    <t>item_equip_n_ar_03</t>
  </si>
  <si>
    <t>icon_item_1002</t>
  </si>
  <si>
    <t>레어 가죽 갑옷</t>
  </si>
  <si>
    <t>item_equip_n_ar_04</t>
  </si>
  <si>
    <t>icon_item_1003</t>
  </si>
  <si>
    <t>천 옷</t>
  </si>
  <si>
    <t>item_equip_n_ar_05</t>
  </si>
  <si>
    <t>강화 천 옷</t>
  </si>
  <si>
    <t>item_equip_n_ar_06</t>
  </si>
  <si>
    <t>icon_item_1202</t>
  </si>
  <si>
    <t>레어 천 옷</t>
  </si>
  <si>
    <t>item_equip_n_ar_07</t>
  </si>
  <si>
    <t>icon_item_1203</t>
  </si>
  <si>
    <t>구리 갑옷</t>
  </si>
  <si>
    <t>item_equip_n_ar_08</t>
  </si>
  <si>
    <t>강화 구리 갑옷</t>
  </si>
  <si>
    <t>item_equip_n_ar_09</t>
  </si>
  <si>
    <t>icon_item_1004</t>
  </si>
  <si>
    <t>레어 구리 갑옷</t>
  </si>
  <si>
    <t>item_equip_n_ar_10</t>
  </si>
  <si>
    <t>가죽 옷</t>
  </si>
  <si>
    <t>item_equip_n_ar_11</t>
  </si>
  <si>
    <t>강화 가죽 옷</t>
  </si>
  <si>
    <t>item_equip_n_ar_12</t>
  </si>
  <si>
    <t>icon_item_1205</t>
  </si>
  <si>
    <t>레어 가죽 옷</t>
  </si>
  <si>
    <t>item_equip_n_ar_13</t>
  </si>
  <si>
    <t>icon_item_1206</t>
  </si>
  <si>
    <t>황동 갑옷</t>
  </si>
  <si>
    <t>item_equip_n_ar_14</t>
  </si>
  <si>
    <t>강화 황동 갑옷</t>
  </si>
  <si>
    <t>item_equip_n_ar_15</t>
  </si>
  <si>
    <t>icon_item_1006</t>
  </si>
  <si>
    <t>레어 황동 갑옷</t>
  </si>
  <si>
    <t>item_equip_n_ar_16</t>
  </si>
  <si>
    <t>무복</t>
  </si>
  <si>
    <t>item_equip_n_ar_17</t>
  </si>
  <si>
    <t>장식된 무복</t>
  </si>
  <si>
    <t>item_equip_n_ar_18</t>
  </si>
  <si>
    <t>icon_item_1208</t>
  </si>
  <si>
    <t>레어 무복</t>
  </si>
  <si>
    <t>item_equip_n_ar_19</t>
  </si>
  <si>
    <t>icon_item_1209</t>
  </si>
  <si>
    <t>철 갑옷</t>
  </si>
  <si>
    <t>item_equip_n_ar_20</t>
  </si>
  <si>
    <t>강화 철 갑옷</t>
  </si>
  <si>
    <t>item_equip_n_ar_21</t>
  </si>
  <si>
    <t>레어 철 갑옷</t>
  </si>
  <si>
    <t>item_equip_n_ar_22</t>
  </si>
  <si>
    <t>법사 옷</t>
  </si>
  <si>
    <t>item_equip_n_ar_23</t>
  </si>
  <si>
    <t>장식된 법사 옷</t>
  </si>
  <si>
    <t>item_equip_n_ar_24</t>
  </si>
  <si>
    <t>레어 법사 옷</t>
  </si>
  <si>
    <t>item_equip_n_ar_25</t>
  </si>
  <si>
    <t>구리 반지</t>
  </si>
  <si>
    <t>item_equip_n_ac_01</t>
  </si>
  <si>
    <t>은 반지</t>
  </si>
  <si>
    <t>item_equip_n_ac_02</t>
  </si>
  <si>
    <t>icon_item_2001</t>
  </si>
  <si>
    <t>금 반지</t>
  </si>
  <si>
    <t>item_equip_n_ac_03</t>
  </si>
  <si>
    <t>icon_item_2002</t>
  </si>
  <si>
    <t>마법사의 반지</t>
  </si>
  <si>
    <t>item_equip_n_ac_04</t>
  </si>
  <si>
    <t>icon_item_2003</t>
  </si>
  <si>
    <t>백금 반지</t>
  </si>
  <si>
    <t>item_equip_n_ac_05</t>
  </si>
  <si>
    <t>순금 반지</t>
  </si>
  <si>
    <t>item_equip_n_ac_06</t>
  </si>
  <si>
    <t>붉은 마법 반지</t>
  </si>
  <si>
    <t>item_equip_n_ac_07</t>
  </si>
  <si>
    <t>사파이어 반지</t>
  </si>
  <si>
    <t>item_equip_n_ac_08</t>
  </si>
  <si>
    <t>루비 반지</t>
  </si>
  <si>
    <t>item_equip_n_ac_09</t>
  </si>
  <si>
    <t>푸른 마법 반지</t>
  </si>
  <si>
    <t>item_equip_n_ac_10</t>
  </si>
  <si>
    <t>에메랄드 반지</t>
  </si>
  <si>
    <t>item_equip_n_ac_11</t>
  </si>
  <si>
    <t>혈석 반지</t>
  </si>
  <si>
    <t>item_equip_n_ac_12</t>
  </si>
  <si>
    <t>달의 반지</t>
  </si>
  <si>
    <t>item_equip_n_ac_13</t>
  </si>
  <si>
    <t>낡은 신발</t>
  </si>
  <si>
    <t>item_equip_n_bo_01</t>
  </si>
  <si>
    <t>나무 신발</t>
  </si>
  <si>
    <t>item_equip_n_bo_02</t>
  </si>
  <si>
    <t>icon_item_3001</t>
  </si>
  <si>
    <t>나무 장화</t>
  </si>
  <si>
    <t>item_equip_n_bo_03</t>
  </si>
  <si>
    <t>icon_item_3002</t>
  </si>
  <si>
    <t>강화 나무 장화</t>
  </si>
  <si>
    <t>item_equip_n_bo_04</t>
  </si>
  <si>
    <t>icon_item_3003</t>
  </si>
  <si>
    <t>가죽 신발</t>
  </si>
  <si>
    <t>item_equip_n_bo_05</t>
  </si>
  <si>
    <t>가죽 장화</t>
  </si>
  <si>
    <t>item_equip_n_bo_06</t>
  </si>
  <si>
    <t>강화 가죽 장화</t>
  </si>
  <si>
    <t>item_equip_n_bo_07</t>
  </si>
  <si>
    <t>황동 신발</t>
  </si>
  <si>
    <t>item_equip_n_bo_08</t>
  </si>
  <si>
    <t>황동 장화</t>
  </si>
  <si>
    <t>item_equip_n_bo_09</t>
  </si>
  <si>
    <t>강화 황동 장화</t>
  </si>
  <si>
    <t>item_equip_n_bo_10</t>
  </si>
  <si>
    <t>철 신발</t>
  </si>
  <si>
    <t>item_equip_n_bo_11</t>
  </si>
  <si>
    <t>철 장화</t>
  </si>
  <si>
    <t>item_equip_n_bo_12</t>
  </si>
  <si>
    <t>강화 철 장화</t>
  </si>
  <si>
    <t>item_equip_n_bo_13</t>
  </si>
  <si>
    <t>나무 막대기</t>
  </si>
  <si>
    <t>item_equip_n_we_01</t>
  </si>
  <si>
    <t>넓은 검</t>
  </si>
  <si>
    <t>item_equip_n_we_02</t>
  </si>
  <si>
    <t>icon_item_4001</t>
  </si>
  <si>
    <t>장검</t>
  </si>
  <si>
    <t>item_equip_n_we_03</t>
  </si>
  <si>
    <t>icon_item_4002</t>
  </si>
  <si>
    <t>담로</t>
  </si>
  <si>
    <t>item_equip_n_we_04</t>
  </si>
  <si>
    <t>icon_item_4003</t>
  </si>
  <si>
    <t>나무 지팡이</t>
  </si>
  <si>
    <t>item_equip_n_we_05</t>
  </si>
  <si>
    <t>주목 지팡이</t>
  </si>
  <si>
    <t>item_equip_n_we_06</t>
  </si>
  <si>
    <t>icon_item_4202</t>
  </si>
  <si>
    <t>악몽의 지팡이</t>
  </si>
  <si>
    <t>item_equip_n_we_07</t>
  </si>
  <si>
    <t>icon_item_4203</t>
  </si>
  <si>
    <t>단도</t>
  </si>
  <si>
    <t>item_equip_n_we_08</t>
  </si>
  <si>
    <t>비수</t>
  </si>
  <si>
    <t>item_equip_n_we_09</t>
  </si>
  <si>
    <t>icon_item_4402</t>
  </si>
  <si>
    <t>크리스</t>
  </si>
  <si>
    <t>item_equip_n_we_10</t>
  </si>
  <si>
    <t>icon_item_4403</t>
  </si>
  <si>
    <t>전쟁 검</t>
  </si>
  <si>
    <t>item_equip_n_we_11</t>
  </si>
  <si>
    <t>용병 검</t>
  </si>
  <si>
    <t>item_equip_n_we_12</t>
  </si>
  <si>
    <t>그람</t>
  </si>
  <si>
    <t>item_equip_n_we_13</t>
  </si>
  <si>
    <t>뼈 지팡이</t>
  </si>
  <si>
    <t>item_equip_n_we_14</t>
  </si>
  <si>
    <t>전투 지팡이</t>
  </si>
  <si>
    <t>item_equip_n_we_15</t>
  </si>
  <si>
    <t>지옥의 지팡이</t>
  </si>
  <si>
    <t>item_equip_n_we_16</t>
  </si>
  <si>
    <t>뿔 단도</t>
  </si>
  <si>
    <t>item_equip_n_we_17</t>
  </si>
  <si>
    <t>톱날 단도</t>
  </si>
  <si>
    <t>item_equip_n_we_18</t>
  </si>
  <si>
    <t>아수라</t>
  </si>
  <si>
    <t>item_equip_n_we_19</t>
  </si>
  <si>
    <t>검투사 검</t>
  </si>
  <si>
    <t>item_equip_n_we_20</t>
  </si>
  <si>
    <t>기사 검</t>
  </si>
  <si>
    <t>item_equip_n_we_21</t>
  </si>
  <si>
    <t>듀랜달</t>
  </si>
  <si>
    <t>item_equip_n_we_22</t>
  </si>
  <si>
    <t>전쟁 지팡이</t>
  </si>
  <si>
    <t>item_equip_n_we_23</t>
  </si>
  <si>
    <t>흑요석 지팡이</t>
  </si>
  <si>
    <t>item_equip_n_we_24</t>
  </si>
  <si>
    <t>불지옥 지팡이</t>
  </si>
  <si>
    <t>item_equip_n_we_25</t>
  </si>
  <si>
    <t>강철 단도</t>
  </si>
  <si>
    <t>item_equip_n_we_26</t>
  </si>
  <si>
    <t>굴절 단도</t>
  </si>
  <si>
    <t>item_equip_n_we_27</t>
  </si>
  <si>
    <t>리딜</t>
  </si>
  <si>
    <t>item_equip_n_we_28</t>
  </si>
  <si>
    <t>해적 검</t>
  </si>
  <si>
    <t>item_equip_n_we_29</t>
  </si>
  <si>
    <t>제국 검</t>
  </si>
  <si>
    <t>item_equip_n_we_30</t>
  </si>
  <si>
    <t>막 아 루인</t>
  </si>
  <si>
    <t>item_equip_n_we_31</t>
  </si>
  <si>
    <t>주술 지팡이</t>
  </si>
  <si>
    <t>item_equip_n_we_32</t>
  </si>
  <si>
    <t>칠흑 지팡이</t>
  </si>
  <si>
    <t>item_equip_n_we_33</t>
  </si>
  <si>
    <t>대장로의 지팡이</t>
  </si>
  <si>
    <t>item_equip_n_we_34</t>
  </si>
  <si>
    <t>흑철 단검</t>
  </si>
  <si>
    <t>item_equip_n_we_35</t>
  </si>
  <si>
    <t>룬 단검</t>
  </si>
  <si>
    <t>item_equip_n_we_36</t>
  </si>
  <si>
    <t>소울 브링거</t>
  </si>
  <si>
    <t>item_equip_n_we_37</t>
  </si>
  <si>
    <t>Box</t>
  </si>
  <si>
    <t>Key</t>
  </si>
  <si>
    <t>item_key_02</t>
  </si>
  <si>
    <t>Quest</t>
  </si>
  <si>
    <t>Meterial</t>
  </si>
  <si>
    <t>ADD_ITEM_SLOT</t>
  </si>
  <si>
    <t>ADD_CHARACTER_SLOT</t>
  </si>
  <si>
    <t>icon_item_9001</t>
  </si>
  <si>
    <t>Type</t>
  </si>
  <si>
    <t>Slot_Idx</t>
  </si>
  <si>
    <t>Effect</t>
  </si>
  <si>
    <t>Effect_Value</t>
  </si>
  <si>
    <t>Is_Stack</t>
  </si>
  <si>
    <t>Price</t>
  </si>
  <si>
    <t>Coin_Price</t>
  </si>
  <si>
    <t>Key_Amount</t>
  </si>
  <si>
    <t>Drop_1</t>
  </si>
  <si>
    <t>빨간 물약</t>
  </si>
  <si>
    <t>item_potion_heal_01</t>
  </si>
  <si>
    <t>STR_ITEM_POTION_HEAL_01</t>
  </si>
  <si>
    <t>STR_ITEM_POTION_HEAL_01_DESC</t>
  </si>
  <si>
    <t>icon_item_0001</t>
  </si>
  <si>
    <t>주황 물약</t>
  </si>
  <si>
    <t>STR_ITEM_POTION_HEAL_02</t>
  </si>
  <si>
    <t>STR_ITEM_POTION_HEAL_02_DESC</t>
  </si>
  <si>
    <t>보라 물약</t>
  </si>
  <si>
    <t>STR_ITEM_POTION_HEAL_03</t>
  </si>
  <si>
    <t>STR_ITEM_POTION_HEAL_03_DESC</t>
  </si>
  <si>
    <t>노랑 물약</t>
  </si>
  <si>
    <t>STR_ITEM_POTION_HEAL_04</t>
  </si>
  <si>
    <t>STR_ITEM_POTION_HEAL_04_DESC</t>
  </si>
  <si>
    <t>하얀 물약</t>
  </si>
  <si>
    <t>STR_ITEM_POTION_HEAL_05</t>
  </si>
  <si>
    <t>STR_ITEM_POTION_HEAL_05_DESC</t>
  </si>
  <si>
    <t>item_equip_n_ar_01</t>
  </si>
  <si>
    <t>STR_ITEM_EQUIP_N_AR_01</t>
  </si>
  <si>
    <t>STR_ITEM_EQUIP_N_AR_01_DESC</t>
  </si>
  <si>
    <t>icon_item_1000</t>
  </si>
  <si>
    <t>STR_ITEM_EQUIP_N_AR_02</t>
  </si>
  <si>
    <t>STR_ITEM_EQUIP_N_AR_02_DESC</t>
  </si>
  <si>
    <t>icon_item_1001</t>
  </si>
  <si>
    <t>STR_ITEM_EQUIP_N_AR_03</t>
  </si>
  <si>
    <t>STR_ITEM_EQUIP_N_AR_03_DESC</t>
  </si>
  <si>
    <t>STR_ITEM_EQUIP_N_AR_04</t>
  </si>
  <si>
    <t>STR_ITEM_EQUIP_N_AR_04_DESC</t>
  </si>
  <si>
    <t>option_pow_01</t>
  </si>
  <si>
    <t>option_dex_01</t>
  </si>
  <si>
    <t>option_int_01</t>
  </si>
  <si>
    <t>option_con_01</t>
  </si>
  <si>
    <t>option_luc_01</t>
  </si>
  <si>
    <t>STR_ITEM_EQUIP_N_AR_05</t>
  </si>
  <si>
    <t>STR_ITEM_EQUIP_N_AR_05_DESC</t>
  </si>
  <si>
    <t>icon_item_1201</t>
  </si>
  <si>
    <t>STR_ITEM_EQUIP_N_AR_06</t>
  </si>
  <si>
    <t>STR_ITEM_EQUIP_N_AR_06_DESC</t>
  </si>
  <si>
    <t>STR_ITEM_EQUIP_N_AR_07</t>
  </si>
  <si>
    <t>STR_ITEM_EQUIP_N_AR_07_DESC</t>
  </si>
  <si>
    <t>STR_ITEM_EQUIP_N_AR_08</t>
  </si>
  <si>
    <t>STR_ITEM_EQUIP_N_AR_08_DESC</t>
  </si>
  <si>
    <t>STR_ITEM_EQUIP_N_AR_09</t>
  </si>
  <si>
    <t>STR_ITEM_EQUIP_N_AR_09_DESC</t>
  </si>
  <si>
    <t>STR_ITEM_EQUIP_N_AR_10</t>
  </si>
  <si>
    <t>STR_ITEM_EQUIP_N_AR_10_DESC</t>
  </si>
  <si>
    <t>STR_ITEM_EQUIP_N_AR_11</t>
  </si>
  <si>
    <t>STR_ITEM_EQUIP_N_AR_11_DESC</t>
  </si>
  <si>
    <t>icon_item_1204</t>
  </si>
  <si>
    <t>STR_ITEM_EQUIP_N_AR_12</t>
  </si>
  <si>
    <t>STR_ITEM_EQUIP_N_AR_12_DESC</t>
  </si>
  <si>
    <t>STR_ITEM_EQUIP_N_AR_13</t>
  </si>
  <si>
    <t>STR_ITEM_EQUIP_N_AR_13_DESC</t>
  </si>
  <si>
    <t>STR_ITEM_EQUIP_N_AR_14</t>
  </si>
  <si>
    <t>STR_ITEM_EQUIP_N_AR_14_DESC</t>
  </si>
  <si>
    <t>icon_item_1005</t>
  </si>
  <si>
    <t>STR_ITEM_EQUIP_N_AR_15</t>
  </si>
  <si>
    <t>STR_ITEM_EQUIP_N_AR_15_DESC</t>
  </si>
  <si>
    <t>STR_ITEM_EQUIP_N_AR_16</t>
  </si>
  <si>
    <t>STR_ITEM_EQUIP_N_AR_16_DESC</t>
  </si>
  <si>
    <t>STR_ITEM_EQUIP_N_AR_17</t>
  </si>
  <si>
    <t>STR_ITEM_EQUIP_N_AR_17_DESC</t>
  </si>
  <si>
    <t>icon_item_1207</t>
  </si>
  <si>
    <t>STR_ITEM_EQUIP_N_AR_18</t>
  </si>
  <si>
    <t>STR_ITEM_EQUIP_N_AR_18_DESC</t>
  </si>
  <si>
    <t>STR_ITEM_EQUIP_N_AR_19</t>
  </si>
  <si>
    <t>STR_ITEM_EQUIP_N_AR_19_DESC</t>
  </si>
  <si>
    <t>STR_ITEM_EQUIP_N_AR_20</t>
  </si>
  <si>
    <t>STR_ITEM_EQUIP_N_AR_20_DESC</t>
  </si>
  <si>
    <t>STR_ITEM_EQUIP_N_AR_21</t>
  </si>
  <si>
    <t>STR_ITEM_EQUIP_N_AR_21_DESC</t>
  </si>
  <si>
    <t>STR_ITEM_EQUIP_N_AR_22</t>
  </si>
  <si>
    <t>STR_ITEM_EQUIP_N_AR_22_DESC</t>
  </si>
  <si>
    <t>STR_ITEM_EQUIP_N_AR_23</t>
  </si>
  <si>
    <t>STR_ITEM_EQUIP_N_AR_23_DESC</t>
  </si>
  <si>
    <t>STR_ITEM_EQUIP_N_AR_24</t>
  </si>
  <si>
    <t>STR_ITEM_EQUIP_N_AR_24_DESC</t>
  </si>
  <si>
    <t>STR_ITEM_EQUIP_N_AR_25</t>
  </si>
  <si>
    <t>STR_ITEM_EQUIP_N_AR_25_DESC</t>
  </si>
  <si>
    <t>STR_ITEM_EQUIP_N_AC_01</t>
  </si>
  <si>
    <t>STR_ITEM_EQUIP_N_AC_01_DESC</t>
  </si>
  <si>
    <t>icon_item_2000</t>
  </si>
  <si>
    <t>STR_ITEM_EQUIP_N_AC_02</t>
  </si>
  <si>
    <t>STR_ITEM_EQUIP_N_AC_02_DESC</t>
  </si>
  <si>
    <t>STR_ITEM_EQUIP_N_AC_03</t>
  </si>
  <si>
    <t>STR_ITEM_EQUIP_N_AC_03_DESC</t>
  </si>
  <si>
    <t>STR_ITEM_EQUIP_N_AC_04</t>
  </si>
  <si>
    <t>STR_ITEM_EQUIP_N_AC_04_DESC</t>
  </si>
  <si>
    <t>STR_ITEM_EQUIP_N_AC_05</t>
  </si>
  <si>
    <t>STR_ITEM_EQUIP_N_AC_05_DESC</t>
  </si>
  <si>
    <t>STR_ITEM_EQUIP_N_AC_06</t>
  </si>
  <si>
    <t>STR_ITEM_EQUIP_N_AC_06_DESC</t>
  </si>
  <si>
    <t>STR_ITEM_EQUIP_N_AC_07</t>
  </si>
  <si>
    <t>STR_ITEM_EQUIP_N_AC_07_DESC</t>
  </si>
  <si>
    <t>STR_ITEM_EQUIP_N_AC_08</t>
  </si>
  <si>
    <t>STR_ITEM_EQUIP_N_AC_08_DESC</t>
  </si>
  <si>
    <t>STR_ITEM_EQUIP_N_AC_09</t>
  </si>
  <si>
    <t>STR_ITEM_EQUIP_N_AC_09_DESC</t>
  </si>
  <si>
    <t>STR_ITEM_EQUIP_N_AC_10</t>
  </si>
  <si>
    <t>STR_ITEM_EQUIP_N_AC_10_DESC</t>
  </si>
  <si>
    <t>STR_ITEM_EQUIP_N_AC_11</t>
  </si>
  <si>
    <t>STR_ITEM_EQUIP_N_AC_11_DESC</t>
  </si>
  <si>
    <t>STR_ITEM_EQUIP_N_AC_12</t>
  </si>
  <si>
    <t>STR_ITEM_EQUIP_N_AC_12_DESC</t>
  </si>
  <si>
    <t>STR_ITEM_EQUIP_N_AC_13</t>
  </si>
  <si>
    <t>STR_ITEM_EQUIP_N_AC_13_DESC</t>
  </si>
  <si>
    <t>STR_ITEM_EQUIP_N_BO_01</t>
  </si>
  <si>
    <t>STR_ITEM_EQUIP_N_BO_01_DESC</t>
  </si>
  <si>
    <t>icon_item_3000</t>
  </si>
  <si>
    <t>STR_ITEM_EQUIP_N_BO_02</t>
  </si>
  <si>
    <t>STR_ITEM_EQUIP_N_BO_02_DESC</t>
  </si>
  <si>
    <t>STR_ITEM_EQUIP_N_BO_03</t>
  </si>
  <si>
    <t>STR_ITEM_EQUIP_N_BO_03_DESC</t>
  </si>
  <si>
    <t>STR_ITEM_EQUIP_N_BO_04</t>
  </si>
  <si>
    <t>STR_ITEM_EQUIP_N_BO_04_DESC</t>
  </si>
  <si>
    <t>STR_ITEM_EQUIP_N_BO_05</t>
  </si>
  <si>
    <t>STR_ITEM_EQUIP_N_BO_05_DESC</t>
  </si>
  <si>
    <t>STR_ITEM_EQUIP_N_BO_06</t>
  </si>
  <si>
    <t>STR_ITEM_EQUIP_N_BO_06_DESC</t>
  </si>
  <si>
    <t>STR_ITEM_EQUIP_N_BO_07</t>
  </si>
  <si>
    <t>STR_ITEM_EQUIP_N_BO_07_DESC</t>
  </si>
  <si>
    <t>STR_ITEM_EQUIP_N_BO_08</t>
  </si>
  <si>
    <t>STR_ITEM_EQUIP_N_BO_08_DESC</t>
  </si>
  <si>
    <t>STR_ITEM_EQUIP_N_BO_09</t>
  </si>
  <si>
    <t>STR_ITEM_EQUIP_N_BO_09_DESC</t>
  </si>
  <si>
    <t>STR_ITEM_EQUIP_N_BO_10</t>
  </si>
  <si>
    <t>STR_ITEM_EQUIP_N_BO_10_DESC</t>
  </si>
  <si>
    <t>STR_ITEM_EQUIP_N_BO_11</t>
  </si>
  <si>
    <t>STR_ITEM_EQUIP_N_BO_11_DESC</t>
  </si>
  <si>
    <t>STR_ITEM_EQUIP_N_BO_12</t>
  </si>
  <si>
    <t>STR_ITEM_EQUIP_N_BO_12_DESC</t>
  </si>
  <si>
    <t>STR_ITEM_EQUIP_N_BO_13</t>
  </si>
  <si>
    <t>STR_ITEM_EQUIP_N_BO_13_DESC</t>
  </si>
  <si>
    <t>STR_ITEM_EQUIP_N_WE_01</t>
  </si>
  <si>
    <t>STR_ITEM_EQUIP_N_WE_01_DESC</t>
  </si>
  <si>
    <t>icon_item_4000</t>
  </si>
  <si>
    <t>STR_ITEM_EQUIP_N_WE_02</t>
  </si>
  <si>
    <t>STR_ITEM_EQUIP_N_WE_02_DESC</t>
  </si>
  <si>
    <t>STR_ITEM_EQUIP_N_WE_03</t>
  </si>
  <si>
    <t>STR_ITEM_EQUIP_N_WE_03_DESC</t>
  </si>
  <si>
    <t>STR_ITEM_EQUIP_N_WE_04</t>
  </si>
  <si>
    <t>STR_ITEM_EQUIP_N_WE_04_DESC</t>
  </si>
  <si>
    <t>STR_ITEM_EQUIP_N_WE_05</t>
  </si>
  <si>
    <t>STR_ITEM_EQUIP_N_WE_05_DESC</t>
  </si>
  <si>
    <t>icon_item_4201</t>
  </si>
  <si>
    <t>STR_ITEM_EQUIP_N_WE_06</t>
  </si>
  <si>
    <t>STR_ITEM_EQUIP_N_WE_06_DESC</t>
  </si>
  <si>
    <t>STR_ITEM_EQUIP_N_WE_07</t>
  </si>
  <si>
    <t>STR_ITEM_EQUIP_N_WE_07_DESC</t>
  </si>
  <si>
    <t>STR_ITEM_EQUIP_N_WE_08</t>
  </si>
  <si>
    <t>STR_ITEM_EQUIP_N_WE_08_DESC</t>
  </si>
  <si>
    <t>icon_item_4401</t>
  </si>
  <si>
    <t>STR_ITEM_EQUIP_N_WE_09</t>
  </si>
  <si>
    <t>STR_ITEM_EQUIP_N_WE_09_DESC</t>
  </si>
  <si>
    <t>STR_ITEM_EQUIP_N_WE_10</t>
  </si>
  <si>
    <t>STR_ITEM_EQUIP_N_WE_10_DESC</t>
  </si>
  <si>
    <t>STR_ITEM_EQUIP_N_WE_11</t>
  </si>
  <si>
    <t>STR_ITEM_EQUIP_N_WE_11_DESC</t>
  </si>
  <si>
    <t>STR_ITEM_EQUIP_N_WE_12</t>
  </si>
  <si>
    <t>STR_ITEM_EQUIP_N_WE_12_DESC</t>
  </si>
  <si>
    <t>STR_ITEM_EQUIP_N_WE_13</t>
  </si>
  <si>
    <t>STR_ITEM_EQUIP_N_WE_13_DESC</t>
  </si>
  <si>
    <t>STR_ITEM_EQUIP_N_WE_14</t>
  </si>
  <si>
    <t>STR_ITEM_EQUIP_N_WE_14_DESC</t>
  </si>
  <si>
    <t>STR_ITEM_EQUIP_N_WE_15</t>
  </si>
  <si>
    <t>STR_ITEM_EQUIP_N_WE_15_DESC</t>
  </si>
  <si>
    <t>STR_ITEM_EQUIP_N_WE_16</t>
  </si>
  <si>
    <t>STR_ITEM_EQUIP_N_WE_16_DESC</t>
  </si>
  <si>
    <t>STR_ITEM_EQUIP_N_WE_17</t>
  </si>
  <si>
    <t>STR_ITEM_EQUIP_N_WE_17_DESC</t>
  </si>
  <si>
    <t>STR_ITEM_EQUIP_N_WE_18</t>
  </si>
  <si>
    <t>STR_ITEM_EQUIP_N_WE_18_DESC</t>
  </si>
  <si>
    <t>STR_ITEM_EQUIP_N_WE_19</t>
  </si>
  <si>
    <t>STR_ITEM_EQUIP_N_WE_19_DESC</t>
  </si>
  <si>
    <t>STR_ITEM_EQUIP_N_WE_20</t>
  </si>
  <si>
    <t>STR_ITEM_EQUIP_N_WE_20_DESC</t>
  </si>
  <si>
    <t>STR_ITEM_EQUIP_N_WE_21</t>
  </si>
  <si>
    <t>STR_ITEM_EQUIP_N_WE_21_DESC</t>
  </si>
  <si>
    <t>STR_ITEM_EQUIP_N_WE_22</t>
  </si>
  <si>
    <t>STR_ITEM_EQUIP_N_WE_22_DESC</t>
  </si>
  <si>
    <t>STR_ITEM_EQUIP_N_WE_23</t>
  </si>
  <si>
    <t>STR_ITEM_EQUIP_N_WE_23_DESC</t>
  </si>
  <si>
    <t>STR_ITEM_EQUIP_N_WE_24</t>
  </si>
  <si>
    <t>STR_ITEM_EQUIP_N_WE_24_DESC</t>
  </si>
  <si>
    <t>STR_ITEM_EQUIP_N_WE_25</t>
  </si>
  <si>
    <t>STR_ITEM_EQUIP_N_WE_25_DESC</t>
  </si>
  <si>
    <t>STR_ITEM_EQUIP_N_WE_26</t>
  </si>
  <si>
    <t>STR_ITEM_EQUIP_N_WE_26_DESC</t>
  </si>
  <si>
    <t>STR_ITEM_EQUIP_N_WE_27</t>
  </si>
  <si>
    <t>STR_ITEM_EQUIP_N_WE_27_DESC</t>
  </si>
  <si>
    <t>STR_ITEM_EQUIP_N_WE_28</t>
  </si>
  <si>
    <t>STR_ITEM_EQUIP_N_WE_28_DESC</t>
  </si>
  <si>
    <t>STR_ITEM_EQUIP_N_WE_29</t>
  </si>
  <si>
    <t>STR_ITEM_EQUIP_N_WE_29_DESC</t>
  </si>
  <si>
    <t>STR_ITEM_EQUIP_N_WE_30</t>
  </si>
  <si>
    <t>STR_ITEM_EQUIP_N_WE_30_DESC</t>
  </si>
  <si>
    <t>STR_ITEM_EQUIP_N_WE_31</t>
  </si>
  <si>
    <t>STR_ITEM_EQUIP_N_WE_31_DESC</t>
  </si>
  <si>
    <t>STR_ITEM_EQUIP_N_WE_32</t>
  </si>
  <si>
    <t>STR_ITEM_EQUIP_N_WE_32_DESC</t>
  </si>
  <si>
    <t>STR_ITEM_EQUIP_N_WE_33</t>
  </si>
  <si>
    <t>STR_ITEM_EQUIP_N_WE_33_DESC</t>
  </si>
  <si>
    <t>STR_ITEM_EQUIP_N_WE_34</t>
  </si>
  <si>
    <t>STR_ITEM_EQUIP_N_WE_34_DESC</t>
  </si>
  <si>
    <t>STR_ITEM_EQUIP_N_WE_35</t>
  </si>
  <si>
    <t>STR_ITEM_EQUIP_N_WE_35_DESC</t>
  </si>
  <si>
    <t>STR_ITEM_EQUIP_N_WE_36</t>
  </si>
  <si>
    <t>STR_ITEM_EQUIP_N_WE_36_DESC</t>
  </si>
  <si>
    <t>STR_ITEM_EQUIP_N_WE_37</t>
  </si>
  <si>
    <t>STR_ITEM_EQUIP_N_WE_37_DESC</t>
  </si>
  <si>
    <t>선물 상자</t>
  </si>
  <si>
    <t>item_box_01</t>
  </si>
  <si>
    <t>STR_ITEM_BOX_01</t>
  </si>
  <si>
    <t>STR_ITEM_BOX_01_DESC</t>
  </si>
  <si>
    <t>icon_item_5000</t>
  </si>
  <si>
    <t>drop_0004</t>
  </si>
  <si>
    <t>drop_0003</t>
  </si>
  <si>
    <t>drop_0001</t>
  </si>
  <si>
    <t>구리열쇠</t>
  </si>
  <si>
    <t>item_key_01</t>
  </si>
  <si>
    <t>STR_ITEM_KEY_01</t>
  </si>
  <si>
    <t>STR_ITEM_KEY_01_DESC</t>
  </si>
  <si>
    <t>icon_item_7000</t>
  </si>
  <si>
    <t>은열쇠</t>
  </si>
  <si>
    <t>STR_ITEM_KEY_02</t>
  </si>
  <si>
    <t>STR_ITEM_KEY_02_DESC</t>
  </si>
  <si>
    <t>icon_item_7002</t>
  </si>
  <si>
    <t>퀘스트 아이템 01</t>
  </si>
  <si>
    <t>item_quest_01</t>
  </si>
  <si>
    <t>STR_ITEM_QUEST_01</t>
  </si>
  <si>
    <t>STR_ITEM_QUEST_01_DESC</t>
  </si>
  <si>
    <t>재료 01</t>
  </si>
  <si>
    <t>item_meterial_01</t>
  </si>
  <si>
    <t>STR_ITEM_METERIAL_01</t>
  </si>
  <si>
    <t>STR_ITEM_METERIAL_01_DESC</t>
  </si>
  <si>
    <t>아이템 슬롯 확장권</t>
  </si>
  <si>
    <t>item_potion_itemslot_01</t>
  </si>
  <si>
    <t>STR_ITEM_POTION_ITEMSLOT_01</t>
  </si>
  <si>
    <t>STR_ITEM_POTION_ITEMSLOT_01_DESC</t>
  </si>
  <si>
    <t>icon_item_9000</t>
  </si>
  <si>
    <t>캐릭터 슬롯 확장권</t>
  </si>
  <si>
    <t>item_potion_slot_01</t>
  </si>
  <si>
    <t>STR_ITEM_POTION_SLOT_01</t>
  </si>
  <si>
    <t>STR_ITEM_POTION_SLOT_01_DESC</t>
  </si>
  <si>
    <t>이름</t>
    <phoneticPr fontId="2" type="noConversion"/>
  </si>
  <si>
    <t>강화 가죽 갑옷</t>
    <phoneticPr fontId="2" type="noConversion"/>
  </si>
  <si>
    <t>장검</t>
    <phoneticPr fontId="2" type="noConversion"/>
  </si>
  <si>
    <t>공격속도</t>
    <phoneticPr fontId="2" type="noConversion"/>
  </si>
  <si>
    <t>DPS</t>
    <phoneticPr fontId="2" type="noConversion"/>
  </si>
  <si>
    <t>유고</t>
    <phoneticPr fontId="2" type="noConversion"/>
  </si>
  <si>
    <t>메이슨</t>
    <phoneticPr fontId="2" type="noConversion"/>
  </si>
  <si>
    <t>패트릭</t>
    <phoneticPr fontId="2" type="noConversion"/>
  </si>
  <si>
    <t>용병 검</t>
    <phoneticPr fontId="2" type="noConversion"/>
  </si>
  <si>
    <t>기사 검</t>
    <phoneticPr fontId="2" type="noConversion"/>
  </si>
  <si>
    <t>제국 검</t>
    <phoneticPr fontId="2" type="noConversion"/>
  </si>
  <si>
    <t>순금 반지</t>
    <phoneticPr fontId="2" type="noConversion"/>
  </si>
  <si>
    <t>루비 반지</t>
    <phoneticPr fontId="2" type="noConversion"/>
  </si>
  <si>
    <t>혈석 반지</t>
    <phoneticPr fontId="2" type="noConversion"/>
  </si>
  <si>
    <t>나무 장화</t>
    <phoneticPr fontId="2" type="noConversion"/>
  </si>
  <si>
    <t>가죽 장화</t>
    <phoneticPr fontId="2" type="noConversion"/>
  </si>
  <si>
    <t>황동 장화</t>
    <phoneticPr fontId="2" type="noConversion"/>
  </si>
  <si>
    <t>철 장화</t>
    <phoneticPr fontId="2" type="noConversion"/>
  </si>
  <si>
    <t>강화 구리 갑옷</t>
    <phoneticPr fontId="2" type="noConversion"/>
  </si>
  <si>
    <t>강화 황동 갑옷</t>
    <phoneticPr fontId="2" type="noConversion"/>
  </si>
  <si>
    <t>강화 철 갑옷</t>
    <phoneticPr fontId="2" type="noConversion"/>
  </si>
  <si>
    <t>맵 ID</t>
    <phoneticPr fontId="2" type="noConversion"/>
  </si>
  <si>
    <t>거리</t>
    <phoneticPr fontId="2" type="noConversion"/>
  </si>
  <si>
    <t>방향전환</t>
    <phoneticPr fontId="2" type="noConversion"/>
  </si>
  <si>
    <t>대화횟수</t>
    <phoneticPr fontId="2" type="noConversion"/>
  </si>
  <si>
    <t>몬스터</t>
    <phoneticPr fontId="2" type="noConversion"/>
  </si>
  <si>
    <t>Add_Drop_2</t>
  </si>
  <si>
    <t>튜토리얼 1</t>
  </si>
  <si>
    <t>튜토리얼 2</t>
  </si>
  <si>
    <t>map_s1_002</t>
  </si>
  <si>
    <t>pf_Map_50001</t>
  </si>
  <si>
    <t>튜토리얼 3</t>
  </si>
  <si>
    <t>map_s1_003</t>
  </si>
  <si>
    <t>pf_Map_50002</t>
  </si>
  <si>
    <t>튜토리얼 4</t>
  </si>
  <si>
    <t>map_s1_004</t>
  </si>
  <si>
    <t>pf_Map_50003</t>
  </si>
  <si>
    <t>map_s1_005</t>
  </si>
  <si>
    <t>pf_Map_50004</t>
  </si>
  <si>
    <t>map_s1_006</t>
  </si>
  <si>
    <t>pf_Map_50005</t>
  </si>
  <si>
    <t>map_s1_007</t>
  </si>
  <si>
    <t>Talk</t>
  </si>
  <si>
    <t>pf_Map_50006</t>
  </si>
  <si>
    <t>map_s1_008</t>
  </si>
  <si>
    <t>pf_Map_50007</t>
  </si>
  <si>
    <t>map_s1_009</t>
  </si>
  <si>
    <t>SlowTalk</t>
  </si>
  <si>
    <t>pf_Map_50008</t>
  </si>
  <si>
    <t>map_s1_010</t>
  </si>
  <si>
    <t>pf_Map_50009</t>
  </si>
  <si>
    <t>map_s1_011</t>
  </si>
  <si>
    <t>Monster</t>
  </si>
  <si>
    <t>pf_Map_50010</t>
  </si>
  <si>
    <t>map_s1_012</t>
  </si>
  <si>
    <t>pf_Map_50011</t>
  </si>
  <si>
    <t>pf_Map_50012</t>
  </si>
  <si>
    <t>pf_Map_50013</t>
  </si>
  <si>
    <t>pf_Map_50014</t>
  </si>
  <si>
    <t>pf_Map_50015</t>
  </si>
  <si>
    <t>물약 상인과 대화</t>
  </si>
  <si>
    <t>pf_Map_50016</t>
  </si>
  <si>
    <t>무기 상인과 대화</t>
  </si>
  <si>
    <t>pf_Map_50017</t>
  </si>
  <si>
    <t>대장장이와 대화</t>
  </si>
  <si>
    <t>pf_Map_50018</t>
  </si>
  <si>
    <t>pf_Map_50019</t>
  </si>
  <si>
    <t>pf_Map_50020</t>
  </si>
  <si>
    <t>전직 기사와 대화</t>
  </si>
  <si>
    <t>pf_Map_50021</t>
  </si>
  <si>
    <t>pf_Map_50022</t>
  </si>
  <si>
    <t>pf_Map_50023</t>
  </si>
  <si>
    <t>pf_Map_50024</t>
  </si>
  <si>
    <t>pf_Map_50025</t>
  </si>
  <si>
    <t>pf_Map_50026</t>
  </si>
  <si>
    <t>pf_Map_50027</t>
  </si>
  <si>
    <t>Reward</t>
  </si>
  <si>
    <t>pf_Map_50028</t>
  </si>
  <si>
    <t>pf_Map_50029</t>
  </si>
  <si>
    <t>동쪽 숲 2</t>
  </si>
  <si>
    <t>pf_Map_50031</t>
  </si>
  <si>
    <t>img_map_0013</t>
  </si>
  <si>
    <t>icon_map_0013</t>
  </si>
  <si>
    <t>동쪽 숲 3</t>
  </si>
  <si>
    <t>pf_Map_50032</t>
  </si>
  <si>
    <t>img_map_0014</t>
  </si>
  <si>
    <t>icon_map_0014</t>
  </si>
  <si>
    <t>동쪽 숲 4</t>
  </si>
  <si>
    <t>pf_Map_50033</t>
  </si>
  <si>
    <t>img_map_0015</t>
  </si>
  <si>
    <t>icon_map_0015</t>
  </si>
  <si>
    <t>동쪽 숲 5</t>
  </si>
  <si>
    <t>pf_Map_50034</t>
  </si>
  <si>
    <t>img_map_0016</t>
  </si>
  <si>
    <t>icon_map_0016</t>
  </si>
  <si>
    <t>동쪽 숲 6</t>
  </si>
  <si>
    <t>pf_Map_50035</t>
  </si>
  <si>
    <t>img_map_0018</t>
  </si>
  <si>
    <t>icon_map_0018</t>
  </si>
  <si>
    <t>동쪽 숲 7</t>
  </si>
  <si>
    <t>pf_Map_50036</t>
  </si>
  <si>
    <t>img_map_0019</t>
  </si>
  <si>
    <t>icon_map_0019</t>
  </si>
  <si>
    <t>pf_Map_50037</t>
  </si>
  <si>
    <t>img_map_0020</t>
  </si>
  <si>
    <t>icon_map_0020</t>
  </si>
  <si>
    <t>pf_Map_50038</t>
  </si>
  <si>
    <t>pf_Map_50039</t>
  </si>
  <si>
    <t>pf_Map_50040</t>
  </si>
  <si>
    <t>Cond_Gold</t>
  </si>
  <si>
    <t>Cond_Silver</t>
  </si>
  <si>
    <t>Image</t>
  </si>
  <si>
    <t>Sound</t>
  </si>
  <si>
    <t>Need_Slot_Num</t>
  </si>
  <si>
    <t>Reward_Gold</t>
  </si>
  <si>
    <t>Add_Drop_1</t>
  </si>
  <si>
    <t>map_s1_001</t>
  </si>
  <si>
    <t>STR_MAP_S1_001</t>
  </si>
  <si>
    <t>STR_MAP_S1_001_DESC</t>
  </si>
  <si>
    <t>Move</t>
  </si>
  <si>
    <t>pf_Map_50000</t>
  </si>
  <si>
    <t>img_map_0002</t>
  </si>
  <si>
    <t>bgm_02</t>
  </si>
  <si>
    <t>icon_map_0002</t>
  </si>
  <si>
    <t>STR_MAP_S1_002</t>
  </si>
  <si>
    <t>STR_MAP_S1_002_DESC</t>
  </si>
  <si>
    <t>STR_MAP_S1_003</t>
  </si>
  <si>
    <t>STR_MAP_S1_003_DESC</t>
  </si>
  <si>
    <t>STR_MAP_S1_004</t>
  </si>
  <si>
    <t>STR_MAP_S1_004_DESC</t>
  </si>
  <si>
    <t>숲 속 마을 입구</t>
  </si>
  <si>
    <t>STR_MAP_S1_005</t>
  </si>
  <si>
    <t>STR_MAP_S1_005_DESC</t>
  </si>
  <si>
    <t>img_map_0001</t>
  </si>
  <si>
    <t>icon_map_0001</t>
  </si>
  <si>
    <t>숲 속 마을 여관</t>
  </si>
  <si>
    <t>STR_MAP_S1_006</t>
  </si>
  <si>
    <t>STR_MAP_S1_006_DESC</t>
  </si>
  <si>
    <t>img_map_0003</t>
  </si>
  <si>
    <t>icon_map_0003</t>
  </si>
  <si>
    <t>이사벨과 대화</t>
  </si>
  <si>
    <t>STR_MAP_S1_007</t>
  </si>
  <si>
    <t>STR_MAP_S1_007_DESC</t>
  </si>
  <si>
    <t>img_map_0004</t>
  </si>
  <si>
    <t>icon_map_0004</t>
  </si>
  <si>
    <t>촌장님 집으로</t>
  </si>
  <si>
    <t>STR_MAP_S1_008</t>
  </si>
  <si>
    <t>STR_MAP_S1_008_DESC</t>
  </si>
  <si>
    <t>촌장님과 대화</t>
  </si>
  <si>
    <t>STR_MAP_S1_009</t>
  </si>
  <si>
    <t>STR_MAP_S1_009_DESC</t>
  </si>
  <si>
    <t>img_map_0005</t>
  </si>
  <si>
    <t>icon_map_0005</t>
  </si>
  <si>
    <t>숲 속 마을 북쪽으로</t>
  </si>
  <si>
    <t>STR_MAP_S1_010</t>
  </si>
  <si>
    <t>STR_MAP_S1_010_DESC</t>
  </si>
  <si>
    <t>슬라임 처치</t>
  </si>
  <si>
    <t>STR_MAP_S1_011</t>
  </si>
  <si>
    <t>STR_MAP_S1_011_DESC</t>
  </si>
  <si>
    <t>img_map_0006</t>
  </si>
  <si>
    <t>icon_map_0006</t>
  </si>
  <si>
    <t>훈련소로 이동 1</t>
  </si>
  <si>
    <t>STR_MAP_S1_012</t>
  </si>
  <si>
    <t>STR_MAP_S1_012_DESC</t>
  </si>
  <si>
    <t>훈련소로 이동 2</t>
  </si>
  <si>
    <t>img_map_0007</t>
  </si>
  <si>
    <t>icon_map_0007</t>
  </si>
  <si>
    <t>훈련대장과 대화</t>
  </si>
  <si>
    <t>img_map_0008</t>
  </si>
  <si>
    <t>icon_map_0008</t>
  </si>
  <si>
    <t>허수아비 처치</t>
  </si>
  <si>
    <t>상정가로 이동</t>
  </si>
  <si>
    <t>img_map_0009</t>
  </si>
  <si>
    <t>icon_map_0009</t>
  </si>
  <si>
    <t>은둔 기사와 대화</t>
  </si>
  <si>
    <t>img_map_0010</t>
  </si>
  <si>
    <t>icon_map_0010</t>
  </si>
  <si>
    <t>숨겨진 방으로 이동</t>
  </si>
  <si>
    <t>숨겨진 방</t>
  </si>
  <si>
    <t>img_map_0011</t>
  </si>
  <si>
    <t>icon_map_0011</t>
  </si>
  <si>
    <t>동쪽 숲으로</t>
  </si>
  <si>
    <t>동쪽 숲 1</t>
  </si>
  <si>
    <t>pf_Map_50030</t>
  </si>
  <si>
    <t>img_map_0012</t>
  </si>
  <si>
    <t>icon_map_0012</t>
  </si>
  <si>
    <t>img_map_0017</t>
  </si>
  <si>
    <t>icon_map_0017</t>
  </si>
  <si>
    <t>비밀의 동굴로</t>
  </si>
  <si>
    <t>동쪽 숲 보물방</t>
  </si>
  <si>
    <t>경비병 로빈과 대화</t>
  </si>
  <si>
    <t>pf_Map_50041</t>
  </si>
  <si>
    <t>등급</t>
    <phoneticPr fontId="2" type="noConversion"/>
  </si>
  <si>
    <t>나무 막대기</t>
    <phoneticPr fontId="2" type="noConversion"/>
  </si>
  <si>
    <t>낡은 옷</t>
    <phoneticPr fontId="2" type="noConversion"/>
  </si>
  <si>
    <t>낡은 신발</t>
    <phoneticPr fontId="2" type="noConversion"/>
  </si>
  <si>
    <t>구리 반지</t>
    <phoneticPr fontId="2" type="noConversion"/>
  </si>
  <si>
    <t>금 반지</t>
    <phoneticPr fontId="2" type="noConversion"/>
  </si>
  <si>
    <t>DPS</t>
    <phoneticPr fontId="2" type="noConversion"/>
  </si>
  <si>
    <t>이동속도</t>
    <phoneticPr fontId="2" type="noConversion"/>
  </si>
  <si>
    <t>수동 설정</t>
    <phoneticPr fontId="2" type="noConversion"/>
  </si>
  <si>
    <t>drop_0010</t>
  </si>
  <si>
    <t>drop_0011</t>
  </si>
  <si>
    <t>map_s2_002</t>
  </si>
  <si>
    <t>map_s2_003</t>
  </si>
  <si>
    <t>map_s2_004</t>
  </si>
  <si>
    <t>map_s2_005</t>
  </si>
  <si>
    <t>map_s2_006</t>
  </si>
  <si>
    <t>map_s2_007</t>
  </si>
  <si>
    <t>map_s2_008</t>
  </si>
  <si>
    <t>map_s2_009</t>
  </si>
  <si>
    <t>map_s2_010</t>
  </si>
  <si>
    <t>bgm_22</t>
  </si>
  <si>
    <t>map_s2_011</t>
  </si>
  <si>
    <t>map_s2_012</t>
  </si>
  <si>
    <t>map_s2_013</t>
  </si>
  <si>
    <t>map_s2_014</t>
  </si>
  <si>
    <t>map_s2_015</t>
  </si>
  <si>
    <t>map_s2_016</t>
  </si>
  <si>
    <t>map_s2_017</t>
  </si>
  <si>
    <t>map_s2_018</t>
  </si>
  <si>
    <t>map_s2_019</t>
  </si>
  <si>
    <t>map_s2_020</t>
  </si>
  <si>
    <t>map_s2_021</t>
  </si>
  <si>
    <t>마을 동쪽으로</t>
  </si>
  <si>
    <t>map_s2_022</t>
  </si>
  <si>
    <t>경비병 엘런의 조언</t>
  </si>
  <si>
    <t>map_s2_023</t>
  </si>
  <si>
    <t>map_s2_024</t>
  </si>
  <si>
    <t>map_s2_025</t>
  </si>
  <si>
    <t>map_s2_026</t>
  </si>
  <si>
    <t>map_s3_002</t>
  </si>
  <si>
    <t>map_s3_003</t>
  </si>
  <si>
    <t>map_s3_004</t>
  </si>
  <si>
    <t>map_s3_005</t>
  </si>
  <si>
    <t>map_s3_006</t>
  </si>
  <si>
    <t>map_s3_007</t>
  </si>
  <si>
    <t>광산 마을 입구</t>
  </si>
  <si>
    <t>map_s3_008</t>
  </si>
  <si>
    <t>죽은 자의 동굴 입구</t>
  </si>
  <si>
    <t>map_s3_009</t>
  </si>
  <si>
    <t>map_s3_010</t>
  </si>
  <si>
    <t>map_s3_011</t>
  </si>
  <si>
    <t>map_s3_012</t>
  </si>
  <si>
    <t>map_s3_013</t>
  </si>
  <si>
    <t>pf_Map_50042</t>
  </si>
  <si>
    <t>map_s3_014</t>
  </si>
  <si>
    <t>pf_Map_50043</t>
  </si>
  <si>
    <t>map_s3_015</t>
  </si>
  <si>
    <t>pf_Map_50044</t>
  </si>
  <si>
    <t>pf_Map_50046</t>
  </si>
  <si>
    <t>pf_Map_50047</t>
  </si>
  <si>
    <t>pf_Map_50048</t>
  </si>
  <si>
    <t>pf_Map_50049</t>
  </si>
  <si>
    <t>bgm_13</t>
  </si>
  <si>
    <t>pf_Map_50050</t>
  </si>
  <si>
    <t>pf_Map_50051</t>
  </si>
  <si>
    <t>pf_Map_50052</t>
  </si>
  <si>
    <t>욕심</t>
  </si>
  <si>
    <t>pf_Map_50053</t>
  </si>
  <si>
    <t>img_map_0022</t>
  </si>
  <si>
    <t>icon_map_0022</t>
  </si>
  <si>
    <t>죽은 자의 동굴  1층</t>
  </si>
  <si>
    <t>map_s4_002</t>
  </si>
  <si>
    <t>pf_Map_50054</t>
  </si>
  <si>
    <t>img_map_0023</t>
  </si>
  <si>
    <t>icon_map_0023</t>
  </si>
  <si>
    <t>좀비 조심</t>
  </si>
  <si>
    <t>map_s4_003</t>
  </si>
  <si>
    <t>pf_Map_50055</t>
  </si>
  <si>
    <t>img_map_0024</t>
  </si>
  <si>
    <t>icon_map_0024</t>
  </si>
  <si>
    <t>박쥐 사냥</t>
  </si>
  <si>
    <t>map_s4_004</t>
  </si>
  <si>
    <t>pf_Map_50056</t>
  </si>
  <si>
    <t>img_map_0025</t>
  </si>
  <si>
    <t>icon_map_0025</t>
  </si>
  <si>
    <t>좀비방</t>
  </si>
  <si>
    <t>map_s4_005</t>
  </si>
  <si>
    <t>pf_Map_50057</t>
  </si>
  <si>
    <t>img_map_0026</t>
  </si>
  <si>
    <t>icon_map_0026</t>
  </si>
  <si>
    <t>숨겨진 방으로</t>
  </si>
  <si>
    <t>map_s4_006</t>
  </si>
  <si>
    <t>pf_Map_50058</t>
  </si>
  <si>
    <t>img_map_0027</t>
  </si>
  <si>
    <t>icon_map_0027</t>
  </si>
  <si>
    <t>보물방</t>
  </si>
  <si>
    <t>map_s4_007</t>
  </si>
  <si>
    <t>pf_Map_50059</t>
  </si>
  <si>
    <t>img_map_0028</t>
  </si>
  <si>
    <t>icon_map_0028</t>
  </si>
  <si>
    <t>map_s4_008</t>
  </si>
  <si>
    <t>pf_Map_50060</t>
  </si>
  <si>
    <t>믿음</t>
  </si>
  <si>
    <t>map_s4_009</t>
  </si>
  <si>
    <t>pf_Map_50061</t>
  </si>
  <si>
    <t>img_map_0029</t>
  </si>
  <si>
    <t>icon_map_0029</t>
  </si>
  <si>
    <t>만족</t>
  </si>
  <si>
    <t>map_s4_010</t>
  </si>
  <si>
    <t>pf_Map_50062</t>
  </si>
  <si>
    <t>img_map_0030</t>
  </si>
  <si>
    <t>icon_map_0030</t>
  </si>
  <si>
    <t>지하 2층으로</t>
  </si>
  <si>
    <t>map_s4_011</t>
  </si>
  <si>
    <t>pf_Map_50063</t>
  </si>
  <si>
    <t>img_map_0031</t>
  </si>
  <si>
    <t>icon_map_0031</t>
  </si>
  <si>
    <t>죽은 자의 동굴 2층</t>
  </si>
  <si>
    <t>map_s4_012</t>
  </si>
  <si>
    <t>pf_Map_50064</t>
  </si>
  <si>
    <t>img_map_0032</t>
  </si>
  <si>
    <t>icon_map_0032</t>
  </si>
  <si>
    <t>구울 조심</t>
  </si>
  <si>
    <t>map_s4_013</t>
  </si>
  <si>
    <t>pf_Map_50065</t>
  </si>
  <si>
    <t>함정 1</t>
  </si>
  <si>
    <t>map_s4_014</t>
  </si>
  <si>
    <t>pf_Map_50066</t>
  </si>
  <si>
    <t>구울방</t>
  </si>
  <si>
    <t>map_s4_015</t>
  </si>
  <si>
    <t>pf_Map_50067</t>
  </si>
  <si>
    <t>함정 2</t>
  </si>
  <si>
    <t>map_s4_016</t>
  </si>
  <si>
    <t>pf_Map_50068</t>
  </si>
  <si>
    <t>라미를 찾아서</t>
  </si>
  <si>
    <t>map_s4_017</t>
  </si>
  <si>
    <t>pf_Map_50069</t>
  </si>
  <si>
    <t>라미의 부탁</t>
  </si>
  <si>
    <t>map_s4_018</t>
  </si>
  <si>
    <t>pf_Map_50070</t>
  </si>
  <si>
    <t>좀비의 영혼</t>
  </si>
  <si>
    <t>map_s4_019</t>
  </si>
  <si>
    <t>QuestMob</t>
  </si>
  <si>
    <t>pf_Map_50071</t>
  </si>
  <si>
    <t>라미에게 줄 선물</t>
  </si>
  <si>
    <t>map_s4_020</t>
  </si>
  <si>
    <t>QuestTalk</t>
  </si>
  <si>
    <t>pf_Map_50072</t>
  </si>
  <si>
    <t>라미의 조언</t>
  </si>
  <si>
    <t>map_s4_021</t>
  </si>
  <si>
    <t>pf_Map_50073</t>
  </si>
  <si>
    <t>서큐버스를 찾아서 1</t>
  </si>
  <si>
    <t>map_s4_022</t>
  </si>
  <si>
    <t>pf_Map_50074</t>
  </si>
  <si>
    <t>서큐버스를 찾아서 2</t>
  </si>
  <si>
    <t>map_s4_023</t>
  </si>
  <si>
    <t>pf_Map_50075</t>
  </si>
  <si>
    <t>서큐버스 처치</t>
  </si>
  <si>
    <t>map_s4_024</t>
  </si>
  <si>
    <t>pf_Map_50076</t>
  </si>
  <si>
    <t>서고로 이동</t>
  </si>
  <si>
    <t>map_s4_025</t>
  </si>
  <si>
    <t>pf_Map_50077</t>
  </si>
  <si>
    <t>map_s4_026</t>
  </si>
  <si>
    <t>pf_Map_50078</t>
  </si>
  <si>
    <t>map_s4_027</t>
  </si>
  <si>
    <t>pf_Map_50079</t>
  </si>
  <si>
    <t>Region_Id</t>
  </si>
  <si>
    <t>bgm_11</t>
  </si>
  <si>
    <t>drop_0008</t>
  </si>
  <si>
    <t>map_s2_001</t>
  </si>
  <si>
    <t>STR_MAP_S2_001</t>
  </si>
  <si>
    <t>STR_MAP_S2_001_DESC</t>
  </si>
  <si>
    <t>bgm_21</t>
  </si>
  <si>
    <t>drop_0009</t>
  </si>
  <si>
    <t>STR_MAP_S2_002</t>
  </si>
  <si>
    <t>STR_MAP_S2_002_DESC</t>
  </si>
  <si>
    <t>STR_MAP_S2_003</t>
  </si>
  <si>
    <t>STR_MAP_S2_003_DESC</t>
  </si>
  <si>
    <t>STR_MAP_S2_004</t>
  </si>
  <si>
    <t>STR_MAP_S2_004_DESC</t>
  </si>
  <si>
    <t>STR_MAP_S2_005</t>
  </si>
  <si>
    <t>STR_MAP_S2_005_DESC</t>
  </si>
  <si>
    <t>STR_MAP_S2_006</t>
  </si>
  <si>
    <t>STR_MAP_S2_006_DESC</t>
  </si>
  <si>
    <t>STR_MAP_S2_007</t>
  </si>
  <si>
    <t>STR_MAP_S2_007_DESC</t>
  </si>
  <si>
    <t>bgm_23</t>
  </si>
  <si>
    <t>STR_MAP_S2_008</t>
  </si>
  <si>
    <t>STR_MAP_S2_008_DESC</t>
  </si>
  <si>
    <t>STR_MAP_S2_009</t>
  </si>
  <si>
    <t>STR_MAP_S2_009_DESC</t>
  </si>
  <si>
    <t>STR_MAP_S2_010</t>
  </si>
  <si>
    <t>STR_MAP_S2_010_DESC</t>
  </si>
  <si>
    <t>STR_MAP_S2_011</t>
  </si>
  <si>
    <t>STR_MAP_S2_011_DESC</t>
  </si>
  <si>
    <t>STR_MAP_S2_012</t>
  </si>
  <si>
    <t>STR_MAP_S2_012_DESC</t>
  </si>
  <si>
    <t>STR_MAP_S2_013</t>
  </si>
  <si>
    <t>STR_MAP_S2_013_DESC</t>
  </si>
  <si>
    <t>STR_MAP_S2_014</t>
  </si>
  <si>
    <t>STR_MAP_S2_014_DESC</t>
  </si>
  <si>
    <t>STR_MAP_S2_015</t>
  </si>
  <si>
    <t>STR_MAP_S2_015_DESC</t>
  </si>
  <si>
    <t>STR_MAP_S2_016</t>
  </si>
  <si>
    <t>STR_MAP_S2_016_DESC</t>
  </si>
  <si>
    <t>STR_MAP_S2_017</t>
  </si>
  <si>
    <t>STR_MAP_S2_017_DESC</t>
  </si>
  <si>
    <t>STR_MAP_S2_018</t>
  </si>
  <si>
    <t>STR_MAP_S2_018_DESC</t>
  </si>
  <si>
    <t>STR_MAP_S2_019</t>
  </si>
  <si>
    <t>STR_MAP_S2_019_DESC</t>
  </si>
  <si>
    <t>STR_MAP_S2_020</t>
  </si>
  <si>
    <t>STR_MAP_S2_020_DESC</t>
  </si>
  <si>
    <t>STR_MAP_S2_021</t>
  </si>
  <si>
    <t>STR_MAP_S2_021_DESC</t>
  </si>
  <si>
    <t>STR_MAP_S2_022</t>
  </si>
  <si>
    <t>STR_MAP_S2_022_DESC</t>
  </si>
  <si>
    <t>STR_MAP_S2_023</t>
  </si>
  <si>
    <t>STR_MAP_S2_023_DESC</t>
  </si>
  <si>
    <t>STR_MAP_S2_024</t>
  </si>
  <si>
    <t>STR_MAP_S2_024_DESC</t>
  </si>
  <si>
    <t>STR_MAP_S2_025</t>
  </si>
  <si>
    <t>STR_MAP_S2_025_DESC</t>
  </si>
  <si>
    <t>STR_MAP_S2_026</t>
  </si>
  <si>
    <t>STR_MAP_S2_026_DESC</t>
  </si>
  <si>
    <t>map_s3_001</t>
  </si>
  <si>
    <t>STR_MAP_S3_001</t>
  </si>
  <si>
    <t>STR_MAP_S3_001_DESC</t>
  </si>
  <si>
    <t>bgm_31</t>
  </si>
  <si>
    <t>drop_0012</t>
  </si>
  <si>
    <t>drop_0013</t>
  </si>
  <si>
    <t>drop_0014</t>
  </si>
  <si>
    <t>STR_MAP_S3_002</t>
  </si>
  <si>
    <t>STR_MAP_S3_002_DESC</t>
  </si>
  <si>
    <t>bgm_34</t>
  </si>
  <si>
    <t>STR_MAP_S3_003</t>
  </si>
  <si>
    <t>STR_MAP_S3_003_DESC</t>
  </si>
  <si>
    <t>STR_MAP_S3_004</t>
  </si>
  <si>
    <t>STR_MAP_S3_004_DESC</t>
  </si>
  <si>
    <t>STR_MAP_S3_005</t>
  </si>
  <si>
    <t>STR_MAP_S3_005_DESC</t>
  </si>
  <si>
    <t>STR_MAP_S3_006</t>
  </si>
  <si>
    <t>STR_MAP_S3_006_DESC</t>
  </si>
  <si>
    <t>STR_MAP_S3_007</t>
  </si>
  <si>
    <t>STR_MAP_S3_007_DESC</t>
  </si>
  <si>
    <t>STR_MAP_S3_008</t>
  </si>
  <si>
    <t>STR_MAP_S3_008_DESC</t>
  </si>
  <si>
    <t>STR_MAP_S3_009</t>
  </si>
  <si>
    <t>STR_MAP_S3_009_DESC</t>
  </si>
  <si>
    <t>STR_MAP_S3_010</t>
  </si>
  <si>
    <t>STR_MAP_S3_010_DESC</t>
  </si>
  <si>
    <t>STR_MAP_S3_011</t>
  </si>
  <si>
    <t>STR_MAP_S3_011_DESC</t>
  </si>
  <si>
    <t>STR_MAP_S3_012</t>
  </si>
  <si>
    <t>STR_MAP_S3_012_DESC</t>
  </si>
  <si>
    <t>bgm_32</t>
  </si>
  <si>
    <t>로빈의 고민</t>
  </si>
  <si>
    <t>STR_MAP_S3_013</t>
  </si>
  <si>
    <t>STR_MAP_S3_013_DESC</t>
  </si>
  <si>
    <t>회색 늑대 처치</t>
  </si>
  <si>
    <t>STR_MAP_S3_014</t>
  </si>
  <si>
    <t>STR_MAP_S3_014_DESC</t>
  </si>
  <si>
    <t>bgm_33</t>
  </si>
  <si>
    <t>로빈의 선물</t>
  </si>
  <si>
    <t>STR_MAP_S3_015</t>
  </si>
  <si>
    <t>STR_MAP_S3_015_DESC</t>
  </si>
  <si>
    <t>개발자의 방으로</t>
  </si>
  <si>
    <t>pf_Map_50045</t>
  </si>
  <si>
    <t>개발자와 대화 1</t>
  </si>
  <si>
    <t>img_map_0021</t>
  </si>
  <si>
    <t>bgm_12</t>
  </si>
  <si>
    <t>icon_map_0021</t>
  </si>
  <si>
    <t>drop_0028</t>
  </si>
  <si>
    <t>개발자와 대화 2</t>
  </si>
  <si>
    <t>개발자와 대화 3</t>
  </si>
  <si>
    <t>시험 2</t>
  </si>
  <si>
    <t>시험 3</t>
  </si>
  <si>
    <t>개발자와 대화 4</t>
  </si>
  <si>
    <t>bgm_14</t>
  </si>
  <si>
    <t>map_s4_001</t>
  </si>
  <si>
    <t>STR_MAP_S4_001</t>
  </si>
  <si>
    <t>STR_MAP_S4_001_DESC</t>
  </si>
  <si>
    <t>bgm_41</t>
  </si>
  <si>
    <t>drop_0015</t>
  </si>
  <si>
    <t>drop_0016</t>
  </si>
  <si>
    <t>drop_0017</t>
  </si>
  <si>
    <t>STR_MAP_S4_002</t>
  </si>
  <si>
    <t>STR_MAP_S4_002_DESC</t>
  </si>
  <si>
    <t>STR_MAP_S4_003</t>
  </si>
  <si>
    <t>STR_MAP_S4_003_DESC</t>
  </si>
  <si>
    <t>bgm_42</t>
  </si>
  <si>
    <t>STR_MAP_S4_004</t>
  </si>
  <si>
    <t>STR_MAP_S4_004_DESC</t>
  </si>
  <si>
    <t>STR_MAP_S4_005</t>
  </si>
  <si>
    <t>STR_MAP_S4_005_DESC</t>
  </si>
  <si>
    <t>STR_MAP_S4_006</t>
  </si>
  <si>
    <t>STR_MAP_S4_006_DESC</t>
  </si>
  <si>
    <t>STR_MAP_S4_007</t>
  </si>
  <si>
    <t>STR_MAP_S4_007_DESC</t>
  </si>
  <si>
    <t>동굴 1층</t>
  </si>
  <si>
    <t>STR_MAP_S4_008</t>
  </si>
  <si>
    <t>STR_MAP_S4_008_DESC</t>
  </si>
  <si>
    <t>STR_MAP_S4_009</t>
  </si>
  <si>
    <t>STR_MAP_S4_009_DESC</t>
  </si>
  <si>
    <t>STR_MAP_S4_010</t>
  </si>
  <si>
    <t>STR_MAP_S4_010_DESC</t>
  </si>
  <si>
    <t>STR_MAP_S4_011</t>
  </si>
  <si>
    <t>STR_MAP_S4_011_DESC</t>
  </si>
  <si>
    <t>STR_MAP_S4_012</t>
  </si>
  <si>
    <t>STR_MAP_S4_012_DESC</t>
  </si>
  <si>
    <t>STR_MAP_S4_013</t>
  </si>
  <si>
    <t>STR_MAP_S4_013_DESC</t>
  </si>
  <si>
    <t>STR_MAP_S4_014</t>
  </si>
  <si>
    <t>STR_MAP_S4_014_DESC</t>
  </si>
  <si>
    <t>STR_MAP_S4_015</t>
  </si>
  <si>
    <t>STR_MAP_S4_015_DESC</t>
  </si>
  <si>
    <t>STR_MAP_S4_016</t>
  </si>
  <si>
    <t>STR_MAP_S4_016_DESC</t>
  </si>
  <si>
    <t>img_map_0033</t>
  </si>
  <si>
    <t>icon_map_0033</t>
  </si>
  <si>
    <t>STR_MAP_S4_017</t>
  </si>
  <si>
    <t>STR_MAP_S4_017_DESC</t>
  </si>
  <si>
    <t>img_map_0034</t>
  </si>
  <si>
    <t>bgm_43</t>
  </si>
  <si>
    <t>icon_map_0034</t>
  </si>
  <si>
    <t>STR_MAP_S4_018</t>
  </si>
  <si>
    <t>STR_MAP_S4_018_DESC</t>
  </si>
  <si>
    <t>STR_MAP_S4_019</t>
  </si>
  <si>
    <t>STR_MAP_S4_019_DESC</t>
  </si>
  <si>
    <t>img_map_0035</t>
  </si>
  <si>
    <t>icon_map_0035</t>
  </si>
  <si>
    <t>STR_MAP_S4_020</t>
  </si>
  <si>
    <t>STR_MAP_S4_020_DESC</t>
  </si>
  <si>
    <t>STR_MAP_S4_021</t>
  </si>
  <si>
    <t>STR_MAP_S4_021_DESC</t>
  </si>
  <si>
    <t>STR_MAP_S4_022</t>
  </si>
  <si>
    <t>STR_MAP_S4_022_DESC</t>
  </si>
  <si>
    <t>STR_MAP_S4_023</t>
  </si>
  <si>
    <t>STR_MAP_S4_023_DESC</t>
  </si>
  <si>
    <t>STR_MAP_S4_024</t>
  </si>
  <si>
    <t>STR_MAP_S4_024_DESC</t>
  </si>
  <si>
    <t>img_map_0036</t>
  </si>
  <si>
    <t>bgm_44</t>
  </si>
  <si>
    <t>icon_map_0036</t>
  </si>
  <si>
    <t>STR_MAP_S4_025</t>
  </si>
  <si>
    <t>STR_MAP_S4_025_DESC</t>
  </si>
  <si>
    <t>단서</t>
  </si>
  <si>
    <t>STR_MAP_S4_026</t>
  </si>
  <si>
    <t>STR_MAP_S4_026_DESC</t>
  </si>
  <si>
    <t>img_map_0037</t>
  </si>
  <si>
    <t>icon_map_0037</t>
  </si>
  <si>
    <t>리바이의 서</t>
  </si>
  <si>
    <t>STR_MAP_S4_027</t>
  </si>
  <si>
    <t>STR_MAP_S4_027_DESC</t>
  </si>
  <si>
    <t>drop_0029</t>
  </si>
  <si>
    <t>상자,함정,지나치는몹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</si>
</sst>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git_eaf/30_table/01_&#53580;&#49828;&#53944;&#48260;&#51204;/Table_Data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History"/>
      <sheetName val="Definition"/>
      <sheetName val="Data"/>
      <sheetName val="Typ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workbookViewId="0">
      <pane ySplit="1" topLeftCell="A26" activePane="bottomLeft" state="frozen"/>
      <selection pane="bottomLeft" activeCell="K47" sqref="K47:L81"/>
    </sheetView>
  </sheetViews>
  <sheetFormatPr defaultRowHeight="16.5" x14ac:dyDescent="0.3"/>
  <cols>
    <col min="2" max="2" width="20.5" customWidth="1"/>
    <col min="3" max="5" width="14.875" customWidth="1"/>
    <col min="9" max="9" width="18.125" customWidth="1"/>
  </cols>
  <sheetData>
    <row r="1" spans="1:13" x14ac:dyDescent="0.3">
      <c r="A1" t="s">
        <v>694</v>
      </c>
      <c r="B1" t="s">
        <v>4</v>
      </c>
      <c r="C1" t="s">
        <v>865</v>
      </c>
      <c r="D1" t="s">
        <v>871</v>
      </c>
      <c r="E1" t="s">
        <v>872</v>
      </c>
      <c r="F1" t="s">
        <v>695</v>
      </c>
      <c r="G1" t="s">
        <v>696</v>
      </c>
      <c r="H1" t="s">
        <v>697</v>
      </c>
      <c r="I1" t="s">
        <v>1221</v>
      </c>
      <c r="J1" t="s">
        <v>698</v>
      </c>
      <c r="K1" t="s">
        <v>1</v>
      </c>
      <c r="L1" t="s">
        <v>2</v>
      </c>
      <c r="M1" t="s">
        <v>873</v>
      </c>
    </row>
    <row r="2" spans="1:13" x14ac:dyDescent="0.3">
      <c r="A2">
        <v>50000</v>
      </c>
      <c r="B2" s="1" t="str">
        <f>VLOOKUP($A2,Table_Data_Map!$A:$F,2,FALSE)</f>
        <v>튜토리얼 1</v>
      </c>
      <c r="C2" s="1">
        <f>VLOOKUP($A2,Table_Data_Map!$A:$F,6,FALSE)</f>
        <v>1</v>
      </c>
      <c r="D2" s="1">
        <f>VLOOKUP($C2,표준캐릭터설정!$A:$E,4,FALSE)</f>
        <v>7.8125</v>
      </c>
      <c r="E2" s="1">
        <f>VLOOKUP($C2,표준캐릭터설정!$A:$E,5,FALSE)</f>
        <v>75</v>
      </c>
      <c r="F2">
        <v>4</v>
      </c>
      <c r="G2">
        <v>0</v>
      </c>
      <c r="H2">
        <v>0</v>
      </c>
      <c r="I2">
        <v>0</v>
      </c>
      <c r="J2">
        <v>0</v>
      </c>
      <c r="K2" s="2">
        <f>$L2+1</f>
        <v>8.9</v>
      </c>
      <c r="L2" s="2">
        <f>INT((10 - ((F2*32/E2) + (G2 * 0.3) + (H2 / 8) + (I2 * 0.7) + (J2 * 4)) - 0.3) * 10) * 0.1</f>
        <v>7.9</v>
      </c>
    </row>
    <row r="3" spans="1:13" x14ac:dyDescent="0.3">
      <c r="A3">
        <v>50001</v>
      </c>
      <c r="B3" s="1" t="str">
        <f>VLOOKUP($A3,Table_Data_Map!$A:$F,2,FALSE)</f>
        <v>튜토리얼 2</v>
      </c>
      <c r="C3" s="1">
        <f>VLOOKUP($A3,Table_Data_Map!$A:$F,6,FALSE)</f>
        <v>1</v>
      </c>
      <c r="D3" s="1">
        <f>VLOOKUP($C3,표준캐릭터설정!$A:$E,4,FALSE)</f>
        <v>7.8125</v>
      </c>
      <c r="E3" s="1">
        <f>VLOOKUP($C3,표준캐릭터설정!$A:$E,5,FALSE)</f>
        <v>75</v>
      </c>
      <c r="F3">
        <v>3</v>
      </c>
      <c r="G3">
        <v>0</v>
      </c>
      <c r="H3">
        <v>0</v>
      </c>
      <c r="I3">
        <v>0</v>
      </c>
      <c r="J3">
        <v>0</v>
      </c>
      <c r="K3" s="2">
        <f t="shared" ref="K3:K66" si="0">$L3+1</f>
        <v>9.4</v>
      </c>
      <c r="L3" s="2">
        <f t="shared" ref="L3:L43" si="1">INT((10 - ((F3*32/E3) + (G3 * 0.3) + (H3 / 8) + (I3 * 0.7) + (J3 * 4)) - 0.3) * 10) * 0.1</f>
        <v>8.4</v>
      </c>
    </row>
    <row r="4" spans="1:13" x14ac:dyDescent="0.3">
      <c r="A4">
        <v>50002</v>
      </c>
      <c r="B4" s="1" t="str">
        <f>VLOOKUP($A4,Table_Data_Map!$A:$F,2,FALSE)</f>
        <v>튜토리얼 3</v>
      </c>
      <c r="C4" s="1">
        <f>VLOOKUP($A4,Table_Data_Map!$A:$F,6,FALSE)</f>
        <v>1</v>
      </c>
      <c r="D4" s="1">
        <f>VLOOKUP($C4,표준캐릭터설정!$A:$E,4,FALSE)</f>
        <v>7.8125</v>
      </c>
      <c r="E4" s="1">
        <f>VLOOKUP($C4,표준캐릭터설정!$A:$E,5,FALSE)</f>
        <v>75</v>
      </c>
      <c r="F4">
        <v>4</v>
      </c>
      <c r="G4">
        <v>0</v>
      </c>
      <c r="H4">
        <v>0</v>
      </c>
      <c r="I4">
        <v>0</v>
      </c>
      <c r="J4">
        <v>0</v>
      </c>
      <c r="K4" s="2">
        <f t="shared" si="0"/>
        <v>8.9</v>
      </c>
      <c r="L4" s="2">
        <f t="shared" si="1"/>
        <v>7.9</v>
      </c>
    </row>
    <row r="5" spans="1:13" x14ac:dyDescent="0.3">
      <c r="A5">
        <v>50003</v>
      </c>
      <c r="B5" s="1" t="str">
        <f>VLOOKUP($A5,Table_Data_Map!$A:$F,2,FALSE)</f>
        <v>튜토리얼 4</v>
      </c>
      <c r="C5" s="1">
        <f>VLOOKUP($A5,Table_Data_Map!$A:$F,6,FALSE)</f>
        <v>1</v>
      </c>
      <c r="D5" s="1">
        <f>VLOOKUP($C5,표준캐릭터설정!$A:$E,4,FALSE)</f>
        <v>7.8125</v>
      </c>
      <c r="E5" s="1">
        <f>VLOOKUP($C5,표준캐릭터설정!$A:$E,5,FALSE)</f>
        <v>75</v>
      </c>
      <c r="F5">
        <v>4</v>
      </c>
      <c r="G5">
        <v>0</v>
      </c>
      <c r="H5">
        <v>0</v>
      </c>
      <c r="I5">
        <v>0</v>
      </c>
      <c r="J5">
        <v>0</v>
      </c>
      <c r="K5" s="2">
        <f t="shared" si="0"/>
        <v>8.9</v>
      </c>
      <c r="L5" s="2">
        <f t="shared" si="1"/>
        <v>7.9</v>
      </c>
    </row>
    <row r="6" spans="1:13" x14ac:dyDescent="0.3">
      <c r="A6">
        <v>50004</v>
      </c>
      <c r="B6" s="1" t="str">
        <f>VLOOKUP($A6,Table_Data_Map!$A:$F,2,FALSE)</f>
        <v>숲 속 마을 입구</v>
      </c>
      <c r="C6" s="1">
        <f>VLOOKUP($A6,Table_Data_Map!$A:$F,6,FALSE)</f>
        <v>2</v>
      </c>
      <c r="D6" s="1">
        <f>VLOOKUP($C6,표준캐릭터설정!$A:$E,4,FALSE)</f>
        <v>18.404907975460123</v>
      </c>
      <c r="E6" s="1">
        <f>VLOOKUP($C6,표준캐릭터설정!$A:$E,5,FALSE)</f>
        <v>83</v>
      </c>
      <c r="F6">
        <v>8</v>
      </c>
      <c r="G6">
        <v>0</v>
      </c>
      <c r="H6">
        <v>0</v>
      </c>
      <c r="I6">
        <v>0</v>
      </c>
      <c r="J6">
        <v>0</v>
      </c>
      <c r="K6" s="2">
        <f t="shared" si="0"/>
        <v>7.6000000000000005</v>
      </c>
      <c r="L6" s="2">
        <f t="shared" si="1"/>
        <v>6.6000000000000005</v>
      </c>
    </row>
    <row r="7" spans="1:13" x14ac:dyDescent="0.3">
      <c r="A7">
        <v>50005</v>
      </c>
      <c r="B7" s="1" t="str">
        <f>VLOOKUP($A7,Table_Data_Map!$A:$F,2,FALSE)</f>
        <v>숲 속 마을 여관</v>
      </c>
      <c r="C7" s="1">
        <f>VLOOKUP($A7,Table_Data_Map!$A:$F,6,FALSE)</f>
        <v>2</v>
      </c>
      <c r="D7" s="1">
        <f>VLOOKUP($C7,표준캐릭터설정!$A:$E,4,FALSE)</f>
        <v>18.404907975460123</v>
      </c>
      <c r="E7" s="1">
        <f>VLOOKUP($C7,표준캐릭터설정!$A:$E,5,FALSE)</f>
        <v>83</v>
      </c>
      <c r="F7">
        <v>9</v>
      </c>
      <c r="G7">
        <v>2</v>
      </c>
      <c r="H7">
        <v>0</v>
      </c>
      <c r="I7">
        <v>0</v>
      </c>
      <c r="J7">
        <v>0</v>
      </c>
      <c r="K7" s="2">
        <f t="shared" si="0"/>
        <v>6.6000000000000005</v>
      </c>
      <c r="L7" s="2">
        <f t="shared" si="1"/>
        <v>5.6000000000000005</v>
      </c>
    </row>
    <row r="8" spans="1:13" x14ac:dyDescent="0.3">
      <c r="A8">
        <v>50006</v>
      </c>
      <c r="B8" s="1" t="str">
        <f>VLOOKUP($A8,Table_Data_Map!$A:$F,2,FALSE)</f>
        <v>이사벨과 대화</v>
      </c>
      <c r="C8" s="1">
        <f>VLOOKUP($A8,Table_Data_Map!$A:$F,6,FALSE)</f>
        <v>2</v>
      </c>
      <c r="D8" s="1">
        <f>VLOOKUP($C8,표준캐릭터설정!$A:$E,4,FALSE)</f>
        <v>18.404907975460123</v>
      </c>
      <c r="E8" s="1">
        <f>VLOOKUP($C8,표준캐릭터설정!$A:$E,5,FALSE)</f>
        <v>83</v>
      </c>
      <c r="F8">
        <v>3</v>
      </c>
      <c r="G8">
        <v>0</v>
      </c>
      <c r="H8">
        <v>2</v>
      </c>
      <c r="I8">
        <v>0</v>
      </c>
      <c r="J8">
        <v>0</v>
      </c>
      <c r="K8" s="2">
        <f t="shared" si="0"/>
        <v>9.2000000000000011</v>
      </c>
      <c r="L8" s="2">
        <f t="shared" si="1"/>
        <v>8.2000000000000011</v>
      </c>
    </row>
    <row r="9" spans="1:13" x14ac:dyDescent="0.3">
      <c r="A9">
        <v>50007</v>
      </c>
      <c r="B9" s="1" t="str">
        <f>VLOOKUP($A9,Table_Data_Map!$A:$F,2,FALSE)</f>
        <v>촌장님 집으로</v>
      </c>
      <c r="C9" s="1">
        <f>VLOOKUP($A9,Table_Data_Map!$A:$F,6,FALSE)</f>
        <v>2</v>
      </c>
      <c r="D9" s="1">
        <f>VLOOKUP($C9,표준캐릭터설정!$A:$E,4,FALSE)</f>
        <v>18.404907975460123</v>
      </c>
      <c r="E9" s="1">
        <f>VLOOKUP($C9,표준캐릭터설정!$A:$E,5,FALSE)</f>
        <v>83</v>
      </c>
      <c r="F9">
        <v>7</v>
      </c>
      <c r="G9">
        <v>1</v>
      </c>
      <c r="H9">
        <v>0</v>
      </c>
      <c r="I9">
        <v>0</v>
      </c>
      <c r="J9">
        <v>0</v>
      </c>
      <c r="K9" s="2">
        <f t="shared" si="0"/>
        <v>7.7</v>
      </c>
      <c r="L9" s="2">
        <f t="shared" si="1"/>
        <v>6.7</v>
      </c>
    </row>
    <row r="10" spans="1:13" x14ac:dyDescent="0.3">
      <c r="A10">
        <v>50008</v>
      </c>
      <c r="B10" s="1" t="str">
        <f>VLOOKUP($A10,Table_Data_Map!$A:$F,2,FALSE)</f>
        <v>촌장님과 대화</v>
      </c>
      <c r="C10" s="1">
        <f>VLOOKUP($A10,Table_Data_Map!$A:$F,6,FALSE)</f>
        <v>2</v>
      </c>
      <c r="D10" s="1">
        <f>VLOOKUP($C10,표준캐릭터설정!$A:$E,4,FALSE)</f>
        <v>18.404907975460123</v>
      </c>
      <c r="E10" s="1">
        <f>VLOOKUP($C10,표준캐릭터설정!$A:$E,5,FALSE)</f>
        <v>83</v>
      </c>
      <c r="F10">
        <v>7</v>
      </c>
      <c r="G10">
        <v>2</v>
      </c>
      <c r="H10">
        <v>30</v>
      </c>
      <c r="I10">
        <v>0</v>
      </c>
      <c r="J10">
        <v>0</v>
      </c>
      <c r="K10" s="2">
        <f t="shared" si="0"/>
        <v>3.6</v>
      </c>
      <c r="L10" s="2">
        <f t="shared" si="1"/>
        <v>2.6</v>
      </c>
    </row>
    <row r="11" spans="1:13" x14ac:dyDescent="0.3">
      <c r="A11">
        <v>50009</v>
      </c>
      <c r="B11" s="1" t="str">
        <f>VLOOKUP($A11,Table_Data_Map!$A:$F,2,FALSE)</f>
        <v>숲 속 마을 북쪽으로</v>
      </c>
      <c r="C11" s="1">
        <f>VLOOKUP($A11,Table_Data_Map!$A:$F,6,FALSE)</f>
        <v>2</v>
      </c>
      <c r="D11" s="1">
        <f>VLOOKUP($C11,표준캐릭터설정!$A:$E,4,FALSE)</f>
        <v>18.404907975460123</v>
      </c>
      <c r="E11" s="1">
        <f>VLOOKUP($C11,표준캐릭터설정!$A:$E,5,FALSE)</f>
        <v>83</v>
      </c>
      <c r="F11">
        <v>10</v>
      </c>
      <c r="G11">
        <v>1</v>
      </c>
      <c r="H11">
        <v>0</v>
      </c>
      <c r="I11">
        <v>0</v>
      </c>
      <c r="J11">
        <v>0</v>
      </c>
      <c r="K11" s="2">
        <f t="shared" si="0"/>
        <v>6.5</v>
      </c>
      <c r="L11" s="2">
        <f t="shared" si="1"/>
        <v>5.5</v>
      </c>
    </row>
    <row r="12" spans="1:13" x14ac:dyDescent="0.3">
      <c r="A12">
        <v>50010</v>
      </c>
      <c r="B12" s="1" t="str">
        <f>VLOOKUP($A12,Table_Data_Map!$A:$F,2,FALSE)</f>
        <v>슬라임 처치</v>
      </c>
      <c r="C12" s="1">
        <f>VLOOKUP($A12,Table_Data_Map!$A:$F,6,FALSE)</f>
        <v>2</v>
      </c>
      <c r="D12" s="1">
        <f>VLOOKUP($C12,표준캐릭터설정!$A:$E,4,FALSE)</f>
        <v>18.404907975460123</v>
      </c>
      <c r="E12" s="1">
        <f>VLOOKUP($C12,표준캐릭터설정!$A:$E,5,FALSE)</f>
        <v>83</v>
      </c>
      <c r="F12">
        <v>3</v>
      </c>
      <c r="G12">
        <v>0</v>
      </c>
      <c r="H12">
        <v>0</v>
      </c>
      <c r="I12">
        <v>0</v>
      </c>
      <c r="J12">
        <v>1</v>
      </c>
      <c r="K12" s="2">
        <f t="shared" si="0"/>
        <v>5.5</v>
      </c>
      <c r="L12" s="2">
        <f t="shared" si="1"/>
        <v>4.5</v>
      </c>
    </row>
    <row r="13" spans="1:13" x14ac:dyDescent="0.3">
      <c r="A13">
        <v>50011</v>
      </c>
      <c r="B13" s="1" t="str">
        <f>VLOOKUP($A13,Table_Data_Map!$A:$F,2,FALSE)</f>
        <v>훈련소로 이동 1</v>
      </c>
      <c r="C13" s="1">
        <f>VLOOKUP($A13,Table_Data_Map!$A:$F,6,FALSE)</f>
        <v>2</v>
      </c>
      <c r="D13" s="1">
        <f>VLOOKUP($C13,표준캐릭터설정!$A:$E,4,FALSE)</f>
        <v>18.404907975460123</v>
      </c>
      <c r="E13" s="1">
        <f>VLOOKUP($C13,표준캐릭터설정!$A:$E,5,FALSE)</f>
        <v>83</v>
      </c>
      <c r="F13">
        <v>8</v>
      </c>
      <c r="G13">
        <v>2</v>
      </c>
      <c r="H13">
        <v>0</v>
      </c>
      <c r="I13">
        <v>0</v>
      </c>
      <c r="J13">
        <v>0</v>
      </c>
      <c r="K13" s="2">
        <f t="shared" si="0"/>
        <v>7</v>
      </c>
      <c r="L13" s="2">
        <f t="shared" si="1"/>
        <v>6</v>
      </c>
    </row>
    <row r="14" spans="1:13" x14ac:dyDescent="0.3">
      <c r="A14">
        <v>50012</v>
      </c>
      <c r="B14" s="1" t="str">
        <f>VLOOKUP($A14,Table_Data_Map!$A:$F,2,FALSE)</f>
        <v>훈련소로 이동 2</v>
      </c>
      <c r="C14" s="1">
        <f>VLOOKUP($A14,Table_Data_Map!$A:$F,6,FALSE)</f>
        <v>2</v>
      </c>
      <c r="D14" s="1">
        <f>VLOOKUP($C14,표준캐릭터설정!$A:$E,4,FALSE)</f>
        <v>18.404907975460123</v>
      </c>
      <c r="E14" s="1">
        <f>VLOOKUP($C14,표준캐릭터설정!$A:$E,5,FALSE)</f>
        <v>83</v>
      </c>
      <c r="F14">
        <v>8</v>
      </c>
      <c r="G14">
        <v>2</v>
      </c>
      <c r="H14">
        <v>0</v>
      </c>
      <c r="I14">
        <v>0</v>
      </c>
      <c r="J14">
        <v>0</v>
      </c>
      <c r="K14" s="2">
        <f t="shared" si="0"/>
        <v>7</v>
      </c>
      <c r="L14" s="2">
        <f t="shared" si="1"/>
        <v>6</v>
      </c>
    </row>
    <row r="15" spans="1:13" x14ac:dyDescent="0.3">
      <c r="A15">
        <v>50013</v>
      </c>
      <c r="B15" s="1" t="str">
        <f>VLOOKUP($A15,Table_Data_Map!$A:$F,2,FALSE)</f>
        <v>훈련대장과 대화</v>
      </c>
      <c r="C15" s="1">
        <f>VLOOKUP($A15,Table_Data_Map!$A:$F,6,FALSE)</f>
        <v>2</v>
      </c>
      <c r="D15" s="1">
        <f>VLOOKUP($C15,표준캐릭터설정!$A:$E,4,FALSE)</f>
        <v>18.404907975460123</v>
      </c>
      <c r="E15" s="1">
        <f>VLOOKUP($C15,표준캐릭터설정!$A:$E,5,FALSE)</f>
        <v>83</v>
      </c>
      <c r="F15">
        <v>4</v>
      </c>
      <c r="G15">
        <v>0</v>
      </c>
      <c r="H15">
        <v>6</v>
      </c>
      <c r="I15">
        <v>0</v>
      </c>
      <c r="J15">
        <v>0</v>
      </c>
      <c r="K15" s="2">
        <f t="shared" si="0"/>
        <v>8.4</v>
      </c>
      <c r="L15" s="2">
        <f t="shared" si="1"/>
        <v>7.4</v>
      </c>
    </row>
    <row r="16" spans="1:13" x14ac:dyDescent="0.3">
      <c r="A16">
        <v>50014</v>
      </c>
      <c r="B16" s="1" t="str">
        <f>VLOOKUP($A16,Table_Data_Map!$A:$F,2,FALSE)</f>
        <v>허수아비 처치</v>
      </c>
      <c r="C16" s="1">
        <f>VLOOKUP($A16,Table_Data_Map!$A:$F,6,FALSE)</f>
        <v>2</v>
      </c>
      <c r="D16" s="1">
        <f>VLOOKUP($C16,표준캐릭터설정!$A:$E,4,FALSE)</f>
        <v>18.404907975460123</v>
      </c>
      <c r="E16" s="1">
        <f>VLOOKUP($C16,표준캐릭터설정!$A:$E,5,FALSE)</f>
        <v>83</v>
      </c>
      <c r="F16">
        <v>4</v>
      </c>
      <c r="G16">
        <v>0</v>
      </c>
      <c r="H16">
        <v>0</v>
      </c>
      <c r="I16">
        <v>0</v>
      </c>
      <c r="J16">
        <v>1</v>
      </c>
      <c r="K16" s="2">
        <f t="shared" si="0"/>
        <v>5.1000000000000005</v>
      </c>
      <c r="L16" s="2">
        <f t="shared" si="1"/>
        <v>4.1000000000000005</v>
      </c>
    </row>
    <row r="17" spans="1:13" x14ac:dyDescent="0.3">
      <c r="A17">
        <v>50015</v>
      </c>
      <c r="B17" s="1" t="str">
        <f>VLOOKUP($A17,Table_Data_Map!$A:$F,2,FALSE)</f>
        <v>상정가로 이동</v>
      </c>
      <c r="C17" s="1">
        <f>VLOOKUP($A17,Table_Data_Map!$A:$F,6,FALSE)</f>
        <v>2</v>
      </c>
      <c r="D17" s="1">
        <f>VLOOKUP($C17,표준캐릭터설정!$A:$E,4,FALSE)</f>
        <v>18.404907975460123</v>
      </c>
      <c r="E17" s="1">
        <f>VLOOKUP($C17,표준캐릭터설정!$A:$E,5,FALSE)</f>
        <v>83</v>
      </c>
      <c r="F17">
        <v>6</v>
      </c>
      <c r="G17">
        <v>3</v>
      </c>
      <c r="H17">
        <v>0</v>
      </c>
      <c r="I17">
        <v>0</v>
      </c>
      <c r="J17">
        <v>0</v>
      </c>
      <c r="K17" s="2">
        <f t="shared" si="0"/>
        <v>7.4</v>
      </c>
      <c r="L17" s="2">
        <f t="shared" si="1"/>
        <v>6.4</v>
      </c>
    </row>
    <row r="18" spans="1:13" x14ac:dyDescent="0.3">
      <c r="A18">
        <v>50016</v>
      </c>
      <c r="B18" s="1" t="str">
        <f>VLOOKUP($A18,Table_Data_Map!$A:$F,2,FALSE)</f>
        <v>물약 상인과 대화</v>
      </c>
      <c r="C18" s="1">
        <f>VLOOKUP($A18,Table_Data_Map!$A:$F,6,FALSE)</f>
        <v>2</v>
      </c>
      <c r="D18" s="1">
        <f>VLOOKUP($C18,표준캐릭터설정!$A:$E,4,FALSE)</f>
        <v>18.404907975460123</v>
      </c>
      <c r="E18" s="1">
        <f>VLOOKUP($C18,표준캐릭터설정!$A:$E,5,FALSE)</f>
        <v>83</v>
      </c>
      <c r="F18">
        <v>4</v>
      </c>
      <c r="G18">
        <v>0</v>
      </c>
      <c r="H18">
        <v>5</v>
      </c>
      <c r="I18">
        <v>0</v>
      </c>
      <c r="J18">
        <v>0</v>
      </c>
      <c r="K18" s="2">
        <f t="shared" si="0"/>
        <v>8.5</v>
      </c>
      <c r="L18" s="2">
        <f t="shared" si="1"/>
        <v>7.5</v>
      </c>
    </row>
    <row r="19" spans="1:13" x14ac:dyDescent="0.3">
      <c r="A19">
        <v>50017</v>
      </c>
      <c r="B19" s="1" t="str">
        <f>VLOOKUP($A19,Table_Data_Map!$A:$F,2,FALSE)</f>
        <v>무기 상인과 대화</v>
      </c>
      <c r="C19" s="1">
        <f>VLOOKUP($A19,Table_Data_Map!$A:$F,6,FALSE)</f>
        <v>2</v>
      </c>
      <c r="D19" s="1">
        <f>VLOOKUP($C19,표준캐릭터설정!$A:$E,4,FALSE)</f>
        <v>18.404907975460123</v>
      </c>
      <c r="E19" s="1">
        <f>VLOOKUP($C19,표준캐릭터설정!$A:$E,5,FALSE)</f>
        <v>83</v>
      </c>
      <c r="F19">
        <v>4</v>
      </c>
      <c r="G19">
        <v>0</v>
      </c>
      <c r="H19">
        <v>5</v>
      </c>
      <c r="I19">
        <v>0</v>
      </c>
      <c r="J19">
        <v>0</v>
      </c>
      <c r="K19" s="2">
        <f t="shared" si="0"/>
        <v>8.5</v>
      </c>
      <c r="L19" s="2">
        <f t="shared" si="1"/>
        <v>7.5</v>
      </c>
    </row>
    <row r="20" spans="1:13" x14ac:dyDescent="0.3">
      <c r="A20">
        <v>50018</v>
      </c>
      <c r="B20" s="1" t="str">
        <f>VLOOKUP($A20,Table_Data_Map!$A:$F,2,FALSE)</f>
        <v>대장장이와 대화</v>
      </c>
      <c r="C20" s="1">
        <f>VLOOKUP($A20,Table_Data_Map!$A:$F,6,FALSE)</f>
        <v>2</v>
      </c>
      <c r="D20" s="1">
        <f>VLOOKUP($C20,표준캐릭터설정!$A:$E,4,FALSE)</f>
        <v>18.404907975460123</v>
      </c>
      <c r="E20" s="1">
        <f>VLOOKUP($C20,표준캐릭터설정!$A:$E,5,FALSE)</f>
        <v>83</v>
      </c>
      <c r="F20">
        <v>4</v>
      </c>
      <c r="G20">
        <v>0</v>
      </c>
      <c r="H20">
        <v>5</v>
      </c>
      <c r="I20">
        <v>0</v>
      </c>
      <c r="J20">
        <v>0</v>
      </c>
      <c r="K20" s="2">
        <f t="shared" si="0"/>
        <v>8.5</v>
      </c>
      <c r="L20" s="2">
        <f t="shared" si="1"/>
        <v>7.5</v>
      </c>
    </row>
    <row r="21" spans="1:13" x14ac:dyDescent="0.3">
      <c r="A21">
        <v>50019</v>
      </c>
      <c r="B21" s="1" t="str">
        <f>VLOOKUP($A21,Table_Data_Map!$A:$F,2,FALSE)</f>
        <v>무기 상인과 대화</v>
      </c>
      <c r="C21" s="1">
        <f>VLOOKUP($A21,Table_Data_Map!$A:$F,6,FALSE)</f>
        <v>2</v>
      </c>
      <c r="D21" s="1">
        <f>VLOOKUP($C21,표준캐릭터설정!$A:$E,4,FALSE)</f>
        <v>18.404907975460123</v>
      </c>
      <c r="E21" s="1">
        <f>VLOOKUP($C21,표준캐릭터설정!$A:$E,5,FALSE)</f>
        <v>83</v>
      </c>
      <c r="F21">
        <v>4</v>
      </c>
      <c r="G21">
        <v>0</v>
      </c>
      <c r="H21">
        <v>5</v>
      </c>
      <c r="I21">
        <v>0</v>
      </c>
      <c r="J21">
        <v>0</v>
      </c>
      <c r="K21" s="2">
        <f t="shared" si="0"/>
        <v>8.5</v>
      </c>
      <c r="L21" s="2">
        <f t="shared" si="1"/>
        <v>7.5</v>
      </c>
    </row>
    <row r="22" spans="1:13" x14ac:dyDescent="0.3">
      <c r="A22">
        <v>50020</v>
      </c>
      <c r="B22" s="1" t="str">
        <f>VLOOKUP($A22,Table_Data_Map!$A:$F,2,FALSE)</f>
        <v>은둔 기사와 대화</v>
      </c>
      <c r="C22" s="1">
        <f>VLOOKUP($A22,Table_Data_Map!$A:$F,6,FALSE)</f>
        <v>2</v>
      </c>
      <c r="D22" s="1">
        <f>VLOOKUP($C22,표준캐릭터설정!$A:$E,4,FALSE)</f>
        <v>18.404907975460123</v>
      </c>
      <c r="E22" s="1">
        <f>VLOOKUP($C22,표준캐릭터설정!$A:$E,5,FALSE)</f>
        <v>83</v>
      </c>
      <c r="F22">
        <v>4</v>
      </c>
      <c r="G22">
        <v>0</v>
      </c>
      <c r="H22">
        <v>5</v>
      </c>
      <c r="I22">
        <v>0</v>
      </c>
      <c r="J22">
        <v>0</v>
      </c>
      <c r="K22" s="2">
        <f t="shared" si="0"/>
        <v>8.5</v>
      </c>
      <c r="L22" s="2">
        <f t="shared" si="1"/>
        <v>7.5</v>
      </c>
    </row>
    <row r="23" spans="1:13" x14ac:dyDescent="0.3">
      <c r="A23">
        <v>50021</v>
      </c>
      <c r="B23" s="1" t="str">
        <f>VLOOKUP($A23,Table_Data_Map!$A:$F,2,FALSE)</f>
        <v>전직 기사와 대화</v>
      </c>
      <c r="C23" s="1">
        <f>VLOOKUP($A23,Table_Data_Map!$A:$F,6,FALSE)</f>
        <v>2</v>
      </c>
      <c r="D23" s="1">
        <f>VLOOKUP($C23,표준캐릭터설정!$A:$E,4,FALSE)</f>
        <v>18.404907975460123</v>
      </c>
      <c r="E23" s="1">
        <f>VLOOKUP($C23,표준캐릭터설정!$A:$E,5,FALSE)</f>
        <v>83</v>
      </c>
      <c r="F23">
        <v>4</v>
      </c>
      <c r="G23">
        <v>0</v>
      </c>
      <c r="H23">
        <v>5</v>
      </c>
      <c r="I23">
        <v>0</v>
      </c>
      <c r="J23">
        <v>0</v>
      </c>
      <c r="K23" s="2">
        <f t="shared" si="0"/>
        <v>8.5</v>
      </c>
      <c r="L23" s="2">
        <f t="shared" si="1"/>
        <v>7.5</v>
      </c>
    </row>
    <row r="24" spans="1:13" x14ac:dyDescent="0.3">
      <c r="A24">
        <v>50022</v>
      </c>
      <c r="B24" s="1" t="str">
        <f>VLOOKUP($A24,Table_Data_Map!$A:$F,2,FALSE)</f>
        <v>전직 기사와 대화</v>
      </c>
      <c r="C24" s="1">
        <f>VLOOKUP($A24,Table_Data_Map!$A:$F,6,FALSE)</f>
        <v>2</v>
      </c>
      <c r="D24" s="1">
        <f>VLOOKUP($C24,표준캐릭터설정!$A:$E,4,FALSE)</f>
        <v>18.404907975460123</v>
      </c>
      <c r="E24" s="1">
        <f>VLOOKUP($C24,표준캐릭터설정!$A:$E,5,FALSE)</f>
        <v>83</v>
      </c>
      <c r="F24">
        <v>4</v>
      </c>
      <c r="G24">
        <v>0</v>
      </c>
      <c r="H24">
        <v>5</v>
      </c>
      <c r="I24">
        <v>0</v>
      </c>
      <c r="J24">
        <v>0</v>
      </c>
      <c r="K24" s="2">
        <f t="shared" si="0"/>
        <v>8.5</v>
      </c>
      <c r="L24" s="2">
        <f t="shared" si="1"/>
        <v>7.5</v>
      </c>
    </row>
    <row r="25" spans="1:13" x14ac:dyDescent="0.3">
      <c r="A25">
        <v>50023</v>
      </c>
      <c r="B25" s="1" t="str">
        <f>VLOOKUP($A25,Table_Data_Map!$A:$F,2,FALSE)</f>
        <v>은둔 기사와 대화</v>
      </c>
      <c r="C25" s="1">
        <f>VLOOKUP($A25,Table_Data_Map!$A:$F,6,FALSE)</f>
        <v>2</v>
      </c>
      <c r="D25" s="1">
        <f>VLOOKUP($C25,표준캐릭터설정!$A:$E,4,FALSE)</f>
        <v>18.404907975460123</v>
      </c>
      <c r="E25" s="1">
        <f>VLOOKUP($C25,표준캐릭터설정!$A:$E,5,FALSE)</f>
        <v>83</v>
      </c>
      <c r="F25">
        <v>4</v>
      </c>
      <c r="G25">
        <v>0</v>
      </c>
      <c r="H25">
        <v>5</v>
      </c>
      <c r="I25">
        <v>0</v>
      </c>
      <c r="J25">
        <v>0</v>
      </c>
      <c r="K25" s="2">
        <f t="shared" si="0"/>
        <v>8.5</v>
      </c>
      <c r="L25" s="2">
        <f t="shared" si="1"/>
        <v>7.5</v>
      </c>
    </row>
    <row r="26" spans="1:13" x14ac:dyDescent="0.3">
      <c r="A26">
        <v>50024</v>
      </c>
      <c r="B26" s="1" t="str">
        <f>VLOOKUP($A26,Table_Data_Map!$A:$F,2,FALSE)</f>
        <v>촌장님과 대화</v>
      </c>
      <c r="C26" s="1">
        <f>VLOOKUP($A26,Table_Data_Map!$A:$F,6,FALSE)</f>
        <v>2</v>
      </c>
      <c r="D26" s="1">
        <f>VLOOKUP($C26,표준캐릭터설정!$A:$E,4,FALSE)</f>
        <v>18.404907975460123</v>
      </c>
      <c r="E26" s="1">
        <f>VLOOKUP($C26,표준캐릭터설정!$A:$E,5,FALSE)</f>
        <v>83</v>
      </c>
      <c r="F26">
        <v>7</v>
      </c>
      <c r="G26">
        <v>1</v>
      </c>
      <c r="H26">
        <v>19</v>
      </c>
      <c r="I26">
        <v>0</v>
      </c>
      <c r="J26">
        <v>0</v>
      </c>
      <c r="K26" s="2">
        <f t="shared" si="0"/>
        <v>5.3</v>
      </c>
      <c r="L26" s="2">
        <f t="shared" si="1"/>
        <v>4.3</v>
      </c>
    </row>
    <row r="27" spans="1:13" x14ac:dyDescent="0.3">
      <c r="A27">
        <v>50025</v>
      </c>
      <c r="B27" s="1" t="str">
        <f>VLOOKUP($A27,Table_Data_Map!$A:$F,2,FALSE)</f>
        <v>마을 동쪽으로</v>
      </c>
      <c r="C27" s="1">
        <f>VLOOKUP($A27,Table_Data_Map!$A:$F,6,FALSE)</f>
        <v>2</v>
      </c>
      <c r="D27" s="1">
        <f>VLOOKUP($C27,표준캐릭터설정!$A:$E,4,FALSE)</f>
        <v>18.404907975460123</v>
      </c>
      <c r="E27" s="1">
        <f>VLOOKUP($C27,표준캐릭터설정!$A:$E,5,FALSE)</f>
        <v>83</v>
      </c>
      <c r="F27">
        <v>10</v>
      </c>
      <c r="G27">
        <v>1</v>
      </c>
      <c r="H27">
        <v>0</v>
      </c>
      <c r="I27">
        <v>0</v>
      </c>
      <c r="J27">
        <v>0</v>
      </c>
      <c r="K27" s="2">
        <f t="shared" si="0"/>
        <v>6.5</v>
      </c>
      <c r="L27" s="2">
        <f t="shared" si="1"/>
        <v>5.5</v>
      </c>
    </row>
    <row r="28" spans="1:13" x14ac:dyDescent="0.3">
      <c r="A28">
        <v>50026</v>
      </c>
      <c r="B28" s="1" t="str">
        <f>VLOOKUP($A28,Table_Data_Map!$A:$F,2,FALSE)</f>
        <v>경비병 엘런의 조언</v>
      </c>
      <c r="C28" s="1">
        <f>VLOOKUP($A28,Table_Data_Map!$A:$F,6,FALSE)</f>
        <v>2</v>
      </c>
      <c r="D28" s="1">
        <f>VLOOKUP($C28,표준캐릭터설정!$A:$E,4,FALSE)</f>
        <v>18.404907975460123</v>
      </c>
      <c r="E28" s="1">
        <f>VLOOKUP($C28,표준캐릭터설정!$A:$E,5,FALSE)</f>
        <v>83</v>
      </c>
      <c r="F28">
        <v>10</v>
      </c>
      <c r="G28">
        <v>4</v>
      </c>
      <c r="H28">
        <v>1</v>
      </c>
      <c r="I28">
        <v>0</v>
      </c>
      <c r="J28">
        <v>0</v>
      </c>
      <c r="K28" s="2">
        <f t="shared" si="0"/>
        <v>5.5</v>
      </c>
      <c r="L28" s="2">
        <f t="shared" si="1"/>
        <v>4.5</v>
      </c>
    </row>
    <row r="29" spans="1:13" x14ac:dyDescent="0.3">
      <c r="A29">
        <v>50027</v>
      </c>
      <c r="B29" s="1" t="str">
        <f>VLOOKUP($A29,Table_Data_Map!$A:$F,2,FALSE)</f>
        <v>숨겨진 방으로 이동</v>
      </c>
      <c r="C29" s="1">
        <f>VLOOKUP($A29,Table_Data_Map!$A:$F,6,FALSE)</f>
        <v>2</v>
      </c>
      <c r="D29" s="1">
        <f>VLOOKUP($C29,표준캐릭터설정!$A:$E,4,FALSE)</f>
        <v>18.404907975460123</v>
      </c>
      <c r="E29" s="1">
        <f>VLOOKUP($C29,표준캐릭터설정!$A:$E,5,FALSE)</f>
        <v>83</v>
      </c>
      <c r="F29">
        <v>7</v>
      </c>
      <c r="G29">
        <v>1</v>
      </c>
      <c r="H29">
        <v>0</v>
      </c>
      <c r="I29">
        <v>0</v>
      </c>
      <c r="J29">
        <v>0</v>
      </c>
      <c r="K29" s="2">
        <f t="shared" si="0"/>
        <v>7.7</v>
      </c>
      <c r="L29" s="2">
        <f t="shared" si="1"/>
        <v>6.7</v>
      </c>
    </row>
    <row r="30" spans="1:13" x14ac:dyDescent="0.3">
      <c r="A30" s="3">
        <v>50028</v>
      </c>
      <c r="B30" s="4" t="str">
        <f>VLOOKUP($A30,Table_Data_Map!$A:$F,2,FALSE)</f>
        <v>숨겨진 방</v>
      </c>
      <c r="C30" s="4">
        <f>VLOOKUP($A30,Table_Data_Map!$A:$F,6,FALSE)</f>
        <v>2</v>
      </c>
      <c r="D30" s="4">
        <f>VLOOKUP($C30,표준캐릭터설정!$A:$E,4,FALSE)</f>
        <v>18.404907975460123</v>
      </c>
      <c r="E30" s="4">
        <f>VLOOKUP($C30,표준캐릭터설정!$A:$E,5,FALSE)</f>
        <v>83</v>
      </c>
      <c r="F30" s="3">
        <v>4</v>
      </c>
      <c r="G30" s="3">
        <v>0</v>
      </c>
      <c r="H30" s="3">
        <v>0</v>
      </c>
      <c r="I30" s="3">
        <v>0</v>
      </c>
      <c r="J30" s="3">
        <v>0</v>
      </c>
      <c r="K30" s="5">
        <v>1</v>
      </c>
      <c r="L30" s="5">
        <v>10</v>
      </c>
      <c r="M30" t="b">
        <v>1</v>
      </c>
    </row>
    <row r="31" spans="1:13" x14ac:dyDescent="0.3">
      <c r="A31">
        <v>50029</v>
      </c>
      <c r="B31" s="1" t="str">
        <f>VLOOKUP($A31,Table_Data_Map!$A:$F,2,FALSE)</f>
        <v>동쪽 숲으로</v>
      </c>
      <c r="C31" s="1">
        <f>VLOOKUP($A31,Table_Data_Map!$A:$F,6,FALSE)</f>
        <v>2</v>
      </c>
      <c r="D31" s="1">
        <f>VLOOKUP($C31,표준캐릭터설정!$A:$E,4,FALSE)</f>
        <v>18.404907975460123</v>
      </c>
      <c r="E31" s="1">
        <f>VLOOKUP($C31,표준캐릭터설정!$A:$E,5,FALSE)</f>
        <v>83</v>
      </c>
      <c r="F31">
        <v>5</v>
      </c>
      <c r="G31">
        <v>1</v>
      </c>
      <c r="H31">
        <v>0</v>
      </c>
      <c r="I31">
        <v>0</v>
      </c>
      <c r="J31">
        <v>0</v>
      </c>
      <c r="K31" s="2">
        <f t="shared" si="0"/>
        <v>8.4</v>
      </c>
      <c r="L31" s="2">
        <f t="shared" si="1"/>
        <v>7.4</v>
      </c>
    </row>
    <row r="32" spans="1:13" x14ac:dyDescent="0.3">
      <c r="A32">
        <v>50030</v>
      </c>
      <c r="B32" s="1" t="str">
        <f>VLOOKUP($A32,Table_Data_Map!$A:$F,2,FALSE)</f>
        <v>동쪽 숲 1</v>
      </c>
      <c r="C32" s="1">
        <f>VLOOKUP($A32,Table_Data_Map!$A:$F,6,FALSE)</f>
        <v>3</v>
      </c>
      <c r="D32" s="1">
        <f>VLOOKUP($C32,표준캐릭터설정!$A:$E,4,FALSE)</f>
        <v>34.334763948497852</v>
      </c>
      <c r="E32" s="1">
        <f>VLOOKUP($C32,표준캐릭터설정!$A:$E,5,FALSE)</f>
        <v>91</v>
      </c>
      <c r="F32">
        <v>14</v>
      </c>
      <c r="G32">
        <v>6</v>
      </c>
      <c r="H32">
        <v>0</v>
      </c>
      <c r="I32">
        <v>0</v>
      </c>
      <c r="J32">
        <v>0</v>
      </c>
      <c r="K32" s="2">
        <f t="shared" si="0"/>
        <v>3.9000000000000004</v>
      </c>
      <c r="L32" s="2">
        <f t="shared" si="1"/>
        <v>2.9000000000000004</v>
      </c>
    </row>
    <row r="33" spans="1:13" x14ac:dyDescent="0.3">
      <c r="A33">
        <v>50031</v>
      </c>
      <c r="B33" s="1" t="str">
        <f>VLOOKUP($A33,Table_Data_Map!$A:$F,2,FALSE)</f>
        <v>동쪽 숲 2</v>
      </c>
      <c r="C33" s="1">
        <f>VLOOKUP($A33,Table_Data_Map!$A:$F,6,FALSE)</f>
        <v>3</v>
      </c>
      <c r="D33" s="1">
        <f>VLOOKUP($C33,표준캐릭터설정!$A:$E,4,FALSE)</f>
        <v>34.334763948497852</v>
      </c>
      <c r="E33" s="1">
        <f>VLOOKUP($C33,표준캐릭터설정!$A:$E,5,FALSE)</f>
        <v>91</v>
      </c>
      <c r="F33">
        <v>13</v>
      </c>
      <c r="G33">
        <v>5</v>
      </c>
      <c r="H33">
        <v>0</v>
      </c>
      <c r="I33">
        <v>0</v>
      </c>
      <c r="J33">
        <v>0</v>
      </c>
      <c r="K33" s="2">
        <f t="shared" si="0"/>
        <v>4.5999999999999996</v>
      </c>
      <c r="L33" s="2">
        <f t="shared" si="1"/>
        <v>3.6</v>
      </c>
    </row>
    <row r="34" spans="1:13" x14ac:dyDescent="0.3">
      <c r="A34">
        <v>50032</v>
      </c>
      <c r="B34" s="1" t="str">
        <f>VLOOKUP($A34,Table_Data_Map!$A:$F,2,FALSE)</f>
        <v>동쪽 숲 3</v>
      </c>
      <c r="C34" s="1">
        <f>VLOOKUP($A34,Table_Data_Map!$A:$F,6,FALSE)</f>
        <v>3</v>
      </c>
      <c r="D34" s="1">
        <f>VLOOKUP($C34,표준캐릭터설정!$A:$E,4,FALSE)</f>
        <v>34.334763948497852</v>
      </c>
      <c r="E34" s="1">
        <f>VLOOKUP($C34,표준캐릭터설정!$A:$E,5,FALSE)</f>
        <v>91</v>
      </c>
      <c r="F34">
        <v>8</v>
      </c>
      <c r="G34">
        <v>2</v>
      </c>
      <c r="H34">
        <v>0</v>
      </c>
      <c r="I34">
        <v>0</v>
      </c>
      <c r="J34">
        <v>0</v>
      </c>
      <c r="K34" s="2">
        <f t="shared" si="0"/>
        <v>7.2</v>
      </c>
      <c r="L34" s="2">
        <f t="shared" si="1"/>
        <v>6.2</v>
      </c>
    </row>
    <row r="35" spans="1:13" x14ac:dyDescent="0.3">
      <c r="A35">
        <v>50033</v>
      </c>
      <c r="B35" s="1" t="str">
        <f>VLOOKUP($A35,Table_Data_Map!$A:$F,2,FALSE)</f>
        <v>동쪽 숲 4</v>
      </c>
      <c r="C35" s="1">
        <f>VLOOKUP($A35,Table_Data_Map!$A:$F,6,FALSE)</f>
        <v>3</v>
      </c>
      <c r="D35" s="1">
        <f>VLOOKUP($C35,표준캐릭터설정!$A:$E,4,FALSE)</f>
        <v>34.334763948497852</v>
      </c>
      <c r="E35" s="1">
        <f>VLOOKUP($C35,표준캐릭터설정!$A:$E,5,FALSE)</f>
        <v>91</v>
      </c>
      <c r="F35">
        <v>17</v>
      </c>
      <c r="G35">
        <v>7</v>
      </c>
      <c r="H35">
        <v>0</v>
      </c>
      <c r="I35">
        <v>0</v>
      </c>
      <c r="J35">
        <v>0</v>
      </c>
      <c r="K35" s="2">
        <f t="shared" si="0"/>
        <v>2.6</v>
      </c>
      <c r="L35" s="2">
        <f t="shared" si="1"/>
        <v>1.6</v>
      </c>
    </row>
    <row r="36" spans="1:13" x14ac:dyDescent="0.3">
      <c r="A36">
        <v>50034</v>
      </c>
      <c r="B36" s="1" t="str">
        <f>VLOOKUP($A36,Table_Data_Map!$A:$F,2,FALSE)</f>
        <v>동쪽 숲 5</v>
      </c>
      <c r="C36" s="1">
        <f>VLOOKUP($A36,Table_Data_Map!$A:$F,6,FALSE)</f>
        <v>3</v>
      </c>
      <c r="D36" s="1">
        <f>VLOOKUP($C36,표준캐릭터설정!$A:$E,4,FALSE)</f>
        <v>34.334763948497852</v>
      </c>
      <c r="E36" s="1">
        <f>VLOOKUP($C36,표준캐릭터설정!$A:$E,5,FALSE)</f>
        <v>91</v>
      </c>
      <c r="F36">
        <v>11</v>
      </c>
      <c r="G36">
        <v>2</v>
      </c>
      <c r="H36">
        <v>0</v>
      </c>
      <c r="I36">
        <v>0</v>
      </c>
      <c r="J36">
        <v>0</v>
      </c>
      <c r="K36" s="2">
        <f t="shared" si="0"/>
        <v>6.2</v>
      </c>
      <c r="L36" s="2">
        <f t="shared" si="1"/>
        <v>5.2</v>
      </c>
    </row>
    <row r="37" spans="1:13" x14ac:dyDescent="0.3">
      <c r="A37">
        <v>50035</v>
      </c>
      <c r="B37" s="1" t="str">
        <f>VLOOKUP($A37,Table_Data_Map!$A:$F,2,FALSE)</f>
        <v>동쪽 숲 6</v>
      </c>
      <c r="C37" s="1">
        <f>VLOOKUP($A37,Table_Data_Map!$A:$F,6,FALSE)</f>
        <v>3</v>
      </c>
      <c r="D37" s="1">
        <f>VLOOKUP($C37,표준캐릭터설정!$A:$E,4,FALSE)</f>
        <v>34.334763948497852</v>
      </c>
      <c r="E37" s="1">
        <f>VLOOKUP($C37,표준캐릭터설정!$A:$E,5,FALSE)</f>
        <v>91</v>
      </c>
      <c r="F37">
        <v>13</v>
      </c>
      <c r="G37">
        <v>3</v>
      </c>
      <c r="H37">
        <v>0</v>
      </c>
      <c r="I37">
        <v>0</v>
      </c>
      <c r="J37">
        <v>0</v>
      </c>
      <c r="K37" s="2">
        <f t="shared" si="0"/>
        <v>5.2</v>
      </c>
      <c r="L37" s="2">
        <f t="shared" si="1"/>
        <v>4.2</v>
      </c>
    </row>
    <row r="38" spans="1:13" x14ac:dyDescent="0.3">
      <c r="A38">
        <v>50036</v>
      </c>
      <c r="B38" s="1" t="str">
        <f>VLOOKUP($A38,Table_Data_Map!$A:$F,2,FALSE)</f>
        <v>동쪽 숲 7</v>
      </c>
      <c r="C38" s="1">
        <f>VLOOKUP($A38,Table_Data_Map!$A:$F,6,FALSE)</f>
        <v>3</v>
      </c>
      <c r="D38" s="1">
        <f>VLOOKUP($C38,표준캐릭터설정!$A:$E,4,FALSE)</f>
        <v>34.334763948497852</v>
      </c>
      <c r="E38" s="1">
        <f>VLOOKUP($C38,표준캐릭터설정!$A:$E,5,FALSE)</f>
        <v>91</v>
      </c>
      <c r="F38">
        <v>11</v>
      </c>
      <c r="G38">
        <v>2</v>
      </c>
      <c r="H38">
        <v>0</v>
      </c>
      <c r="I38">
        <v>0</v>
      </c>
      <c r="J38">
        <v>0</v>
      </c>
      <c r="K38" s="2">
        <f t="shared" si="0"/>
        <v>6.2</v>
      </c>
      <c r="L38" s="2">
        <f t="shared" si="1"/>
        <v>5.2</v>
      </c>
    </row>
    <row r="39" spans="1:13" x14ac:dyDescent="0.3">
      <c r="A39">
        <v>50037</v>
      </c>
      <c r="B39" s="1" t="str">
        <f>VLOOKUP($A39,Table_Data_Map!$A:$F,2,FALSE)</f>
        <v>광산 마을 입구</v>
      </c>
      <c r="C39" s="1">
        <f>VLOOKUP($A39,Table_Data_Map!$A:$F,6,FALSE)</f>
        <v>3</v>
      </c>
      <c r="D39" s="1">
        <f>VLOOKUP($C39,표준캐릭터설정!$A:$E,4,FALSE)</f>
        <v>34.334763948497852</v>
      </c>
      <c r="E39" s="1">
        <f>VLOOKUP($C39,표준캐릭터설정!$A:$E,5,FALSE)</f>
        <v>91</v>
      </c>
      <c r="F39">
        <v>9</v>
      </c>
      <c r="G39">
        <v>2</v>
      </c>
      <c r="H39">
        <v>0</v>
      </c>
      <c r="I39">
        <v>0</v>
      </c>
      <c r="J39">
        <v>0</v>
      </c>
      <c r="K39" s="2">
        <f t="shared" si="0"/>
        <v>6.9</v>
      </c>
      <c r="L39" s="2">
        <f t="shared" si="1"/>
        <v>5.9</v>
      </c>
    </row>
    <row r="40" spans="1:13" x14ac:dyDescent="0.3">
      <c r="A40">
        <v>50038</v>
      </c>
      <c r="B40" s="1" t="str">
        <f>VLOOKUP($A40,Table_Data_Map!$A:$F,2,FALSE)</f>
        <v>죽은 자의 동굴 입구</v>
      </c>
      <c r="C40" s="1">
        <f>VLOOKUP($A40,Table_Data_Map!$A:$F,6,FALSE)</f>
        <v>3</v>
      </c>
      <c r="D40" s="1">
        <f>VLOOKUP($C40,표준캐릭터설정!$A:$E,4,FALSE)</f>
        <v>34.334763948497852</v>
      </c>
      <c r="E40" s="1">
        <f>VLOOKUP($C40,표준캐릭터설정!$A:$E,5,FALSE)</f>
        <v>91</v>
      </c>
      <c r="F40">
        <v>5</v>
      </c>
      <c r="G40">
        <v>0</v>
      </c>
      <c r="H40">
        <v>0</v>
      </c>
      <c r="I40">
        <v>0</v>
      </c>
      <c r="J40">
        <v>0</v>
      </c>
      <c r="K40" s="2">
        <f t="shared" si="0"/>
        <v>8.9</v>
      </c>
      <c r="L40" s="2">
        <f t="shared" si="1"/>
        <v>7.9</v>
      </c>
    </row>
    <row r="41" spans="1:13" x14ac:dyDescent="0.3">
      <c r="A41">
        <v>50039</v>
      </c>
      <c r="B41" s="1" t="str">
        <f>VLOOKUP($A41,Table_Data_Map!$A:$F,2,FALSE)</f>
        <v>비밀의 동굴로</v>
      </c>
      <c r="C41" s="1">
        <f>VLOOKUP($A41,Table_Data_Map!$A:$F,6,FALSE)</f>
        <v>3</v>
      </c>
      <c r="D41" s="1">
        <f>VLOOKUP($C41,표준캐릭터설정!$A:$E,4,FALSE)</f>
        <v>34.334763948497852</v>
      </c>
      <c r="E41" s="1">
        <f>VLOOKUP($C41,표준캐릭터설정!$A:$E,5,FALSE)</f>
        <v>91</v>
      </c>
      <c r="F41">
        <v>13</v>
      </c>
      <c r="G41">
        <v>4</v>
      </c>
      <c r="H41">
        <v>0</v>
      </c>
      <c r="I41">
        <v>0</v>
      </c>
      <c r="J41">
        <v>0</v>
      </c>
      <c r="K41" s="2">
        <f t="shared" si="0"/>
        <v>4.9000000000000004</v>
      </c>
      <c r="L41" s="2">
        <f t="shared" si="1"/>
        <v>3.9000000000000004</v>
      </c>
    </row>
    <row r="42" spans="1:13" x14ac:dyDescent="0.3">
      <c r="A42" s="3">
        <v>50040</v>
      </c>
      <c r="B42" s="4" t="str">
        <f>VLOOKUP($A42,Table_Data_Map!$A:$F,2,FALSE)</f>
        <v>동쪽 숲 보물방</v>
      </c>
      <c r="C42" s="4">
        <f>VLOOKUP($A42,Table_Data_Map!$A:$F,6,FALSE)</f>
        <v>3</v>
      </c>
      <c r="D42" s="4">
        <f>VLOOKUP($C42,표준캐릭터설정!$A:$E,4,FALSE)</f>
        <v>34.334763948497852</v>
      </c>
      <c r="E42" s="4">
        <f>VLOOKUP($C42,표준캐릭터설정!$A:$E,5,FALSE)</f>
        <v>91</v>
      </c>
      <c r="F42" s="3">
        <v>4</v>
      </c>
      <c r="G42" s="3">
        <v>0</v>
      </c>
      <c r="H42" s="3">
        <v>0</v>
      </c>
      <c r="I42" s="3">
        <v>0</v>
      </c>
      <c r="J42" s="3">
        <v>0</v>
      </c>
      <c r="K42" s="5">
        <v>1</v>
      </c>
      <c r="L42" s="5">
        <v>10</v>
      </c>
      <c r="M42" t="b">
        <v>1</v>
      </c>
    </row>
    <row r="43" spans="1:13" x14ac:dyDescent="0.3">
      <c r="A43">
        <v>50041</v>
      </c>
      <c r="B43" s="1" t="str">
        <f>VLOOKUP($A43,Table_Data_Map!$A:$F,2,FALSE)</f>
        <v>경비병 로빈과 대화</v>
      </c>
      <c r="C43" s="1">
        <f>VLOOKUP($A43,Table_Data_Map!$A:$F,6,FALSE)</f>
        <v>3</v>
      </c>
      <c r="D43" s="1">
        <f>VLOOKUP($C43,표준캐릭터설정!$A:$E,4,FALSE)</f>
        <v>34.334763948497852</v>
      </c>
      <c r="E43" s="1">
        <f>VLOOKUP($C43,표준캐릭터설정!$A:$E,5,FALSE)</f>
        <v>91</v>
      </c>
      <c r="F43">
        <v>9</v>
      </c>
      <c r="G43">
        <v>3</v>
      </c>
      <c r="H43">
        <v>5</v>
      </c>
      <c r="I43">
        <v>0</v>
      </c>
      <c r="J43">
        <v>0</v>
      </c>
      <c r="K43" s="2">
        <f t="shared" si="0"/>
        <v>6</v>
      </c>
      <c r="L43" s="2">
        <f t="shared" si="1"/>
        <v>5</v>
      </c>
    </row>
    <row r="44" spans="1:13" x14ac:dyDescent="0.3">
      <c r="A44">
        <v>50042</v>
      </c>
      <c r="B44" s="1" t="str">
        <f>VLOOKUP($A44,Table_Data_Map!$A:$F,2,FALSE)</f>
        <v>로빈의 고민</v>
      </c>
      <c r="C44" s="1">
        <f>VLOOKUP($A44,Table_Data_Map!$A:$F,6,FALSE)</f>
        <v>3</v>
      </c>
      <c r="D44" s="1">
        <f>VLOOKUP($C44,표준캐릭터설정!$A:$E,4,FALSE)</f>
        <v>34.334763948497852</v>
      </c>
      <c r="E44" s="1">
        <f>VLOOKUP($C44,표준캐릭터설정!$A:$E,5,FALSE)</f>
        <v>91</v>
      </c>
      <c r="F44">
        <v>9</v>
      </c>
      <c r="G44">
        <v>3</v>
      </c>
      <c r="H44">
        <v>5</v>
      </c>
      <c r="I44">
        <v>0</v>
      </c>
      <c r="J44">
        <v>0</v>
      </c>
      <c r="K44" s="2">
        <f t="shared" si="0"/>
        <v>6</v>
      </c>
      <c r="L44" s="2">
        <f t="shared" ref="L44:L80" si="2">INT((10 - ((F44*32/E44) + (G44 * 0.3) + (H44 / 8) + (I44 * 0.7) + (J44 * 4)) - 0.3) * 10) * 0.1</f>
        <v>5</v>
      </c>
    </row>
    <row r="45" spans="1:13" x14ac:dyDescent="0.3">
      <c r="A45">
        <v>50043</v>
      </c>
      <c r="B45" s="1" t="str">
        <f>VLOOKUP($A45,Table_Data_Map!$A:$F,2,FALSE)</f>
        <v>회색 늑대 처치</v>
      </c>
      <c r="C45" s="1">
        <f>VLOOKUP($A45,Table_Data_Map!$A:$F,6,FALSE)</f>
        <v>3</v>
      </c>
      <c r="D45" s="1">
        <f>VLOOKUP($C45,표준캐릭터설정!$A:$E,4,FALSE)</f>
        <v>34.334763948497852</v>
      </c>
      <c r="E45" s="1">
        <f>VLOOKUP($C45,표준캐릭터설정!$A:$E,5,FALSE)</f>
        <v>91</v>
      </c>
      <c r="F45">
        <v>9</v>
      </c>
      <c r="G45">
        <v>3</v>
      </c>
      <c r="H45">
        <v>5</v>
      </c>
      <c r="I45">
        <v>0</v>
      </c>
      <c r="J45">
        <v>0</v>
      </c>
      <c r="K45" s="2">
        <f t="shared" si="0"/>
        <v>6</v>
      </c>
      <c r="L45" s="2">
        <f t="shared" si="2"/>
        <v>5</v>
      </c>
    </row>
    <row r="46" spans="1:13" x14ac:dyDescent="0.3">
      <c r="A46">
        <v>50044</v>
      </c>
      <c r="B46" s="1" t="str">
        <f>VLOOKUP($A46,Table_Data_Map!$A:$F,2,FALSE)</f>
        <v>로빈의 선물</v>
      </c>
      <c r="C46" s="1">
        <f>VLOOKUP($A46,Table_Data_Map!$A:$F,6,FALSE)</f>
        <v>3</v>
      </c>
      <c r="D46" s="1">
        <f>VLOOKUP($C46,표준캐릭터설정!$A:$E,4,FALSE)</f>
        <v>34.334763948497852</v>
      </c>
      <c r="E46" s="1">
        <f>VLOOKUP($C46,표준캐릭터설정!$A:$E,5,FALSE)</f>
        <v>91</v>
      </c>
      <c r="F46">
        <v>9</v>
      </c>
      <c r="G46">
        <v>3</v>
      </c>
      <c r="H46">
        <v>5</v>
      </c>
      <c r="I46">
        <v>0</v>
      </c>
      <c r="J46">
        <v>0</v>
      </c>
      <c r="K46" s="2">
        <f t="shared" si="0"/>
        <v>6</v>
      </c>
      <c r="L46" s="2">
        <f t="shared" si="2"/>
        <v>5</v>
      </c>
    </row>
    <row r="47" spans="1:13" x14ac:dyDescent="0.3">
      <c r="A47">
        <v>50045</v>
      </c>
      <c r="B47" s="1" t="str">
        <f>VLOOKUP($A47,Table_Data_Map!$A:$F,2,FALSE)</f>
        <v>개발자의 방으로</v>
      </c>
      <c r="C47" s="1">
        <f>VLOOKUP($A47,Table_Data_Map!$A:$F,6,FALSE)</f>
        <v>1</v>
      </c>
      <c r="D47" s="1">
        <f>VLOOKUP($C47,표준캐릭터설정!$A:$E,4,FALSE)</f>
        <v>7.8125</v>
      </c>
      <c r="E47" s="1">
        <f>VLOOKUP($C47,표준캐릭터설정!$A:$E,5,FALSE)</f>
        <v>75</v>
      </c>
      <c r="F47">
        <v>9</v>
      </c>
      <c r="G47">
        <v>3</v>
      </c>
      <c r="H47">
        <v>5</v>
      </c>
      <c r="I47">
        <v>0</v>
      </c>
      <c r="J47">
        <v>0</v>
      </c>
      <c r="K47" s="2">
        <f t="shared" si="0"/>
        <v>5.3</v>
      </c>
      <c r="L47" s="2">
        <f t="shared" si="2"/>
        <v>4.3</v>
      </c>
    </row>
    <row r="48" spans="1:13" x14ac:dyDescent="0.3">
      <c r="A48">
        <v>50046</v>
      </c>
      <c r="B48" s="1" t="str">
        <f>VLOOKUP($A48,Table_Data_Map!$A:$F,2,FALSE)</f>
        <v>개발자와 대화 1</v>
      </c>
      <c r="C48" s="1">
        <f>VLOOKUP($A48,Table_Data_Map!$A:$F,6,FALSE)</f>
        <v>1</v>
      </c>
      <c r="D48" s="1">
        <f>VLOOKUP($C48,표준캐릭터설정!$A:$E,4,FALSE)</f>
        <v>7.8125</v>
      </c>
      <c r="E48" s="1">
        <f>VLOOKUP($C48,표준캐릭터설정!$A:$E,5,FALSE)</f>
        <v>75</v>
      </c>
      <c r="F48">
        <v>9</v>
      </c>
      <c r="G48">
        <v>3</v>
      </c>
      <c r="H48">
        <v>5</v>
      </c>
      <c r="I48">
        <v>0</v>
      </c>
      <c r="J48">
        <v>0</v>
      </c>
      <c r="K48" s="2">
        <f t="shared" si="0"/>
        <v>5.3</v>
      </c>
      <c r="L48" s="2">
        <f t="shared" si="2"/>
        <v>4.3</v>
      </c>
    </row>
    <row r="49" spans="1:13" x14ac:dyDescent="0.3">
      <c r="A49">
        <v>50047</v>
      </c>
      <c r="B49" s="1" t="str">
        <f>VLOOKUP($A49,Table_Data_Map!$A:$F,2,FALSE)</f>
        <v>개발자와 대화 2</v>
      </c>
      <c r="C49" s="1">
        <f>VLOOKUP($A49,Table_Data_Map!$A:$F,6,FALSE)</f>
        <v>1</v>
      </c>
      <c r="D49" s="1">
        <f>VLOOKUP($C49,표준캐릭터설정!$A:$E,4,FALSE)</f>
        <v>7.8125</v>
      </c>
      <c r="E49" s="1">
        <f>VLOOKUP($C49,표준캐릭터설정!$A:$E,5,FALSE)</f>
        <v>75</v>
      </c>
      <c r="F49">
        <v>9</v>
      </c>
      <c r="G49">
        <v>3</v>
      </c>
      <c r="H49">
        <v>5</v>
      </c>
      <c r="I49">
        <v>0</v>
      </c>
      <c r="J49">
        <v>0</v>
      </c>
      <c r="K49" s="2">
        <f t="shared" si="0"/>
        <v>5.3</v>
      </c>
      <c r="L49" s="2">
        <f t="shared" si="2"/>
        <v>4.3</v>
      </c>
    </row>
    <row r="50" spans="1:13" x14ac:dyDescent="0.3">
      <c r="A50">
        <v>50048</v>
      </c>
      <c r="B50" s="1" t="str">
        <f>VLOOKUP($A50,Table_Data_Map!$A:$F,2,FALSE)</f>
        <v>개발자와 대화 3</v>
      </c>
      <c r="C50" s="1">
        <f>VLOOKUP($A50,Table_Data_Map!$A:$F,6,FALSE)</f>
        <v>1</v>
      </c>
      <c r="D50" s="1">
        <f>VLOOKUP($C50,표준캐릭터설정!$A:$E,4,FALSE)</f>
        <v>7.8125</v>
      </c>
      <c r="E50" s="1">
        <f>VLOOKUP($C50,표준캐릭터설정!$A:$E,5,FALSE)</f>
        <v>75</v>
      </c>
      <c r="F50">
        <v>9</v>
      </c>
      <c r="G50">
        <v>3</v>
      </c>
      <c r="H50">
        <v>5</v>
      </c>
      <c r="I50">
        <v>0</v>
      </c>
      <c r="J50">
        <v>0</v>
      </c>
      <c r="K50" s="2">
        <f t="shared" si="0"/>
        <v>5.3</v>
      </c>
      <c r="L50" s="2">
        <f t="shared" si="2"/>
        <v>4.3</v>
      </c>
    </row>
    <row r="51" spans="1:13" x14ac:dyDescent="0.3">
      <c r="A51">
        <v>50049</v>
      </c>
      <c r="B51" s="1" t="str">
        <f>VLOOKUP($A51,Table_Data_Map!$A:$F,2,FALSE)</f>
        <v>시험 2</v>
      </c>
      <c r="C51" s="1">
        <f>VLOOKUP($A51,Table_Data_Map!$A:$F,6,FALSE)</f>
        <v>1</v>
      </c>
      <c r="D51" s="1">
        <f>VLOOKUP($C51,표준캐릭터설정!$A:$E,4,FALSE)</f>
        <v>7.8125</v>
      </c>
      <c r="E51" s="1">
        <f>VLOOKUP($C51,표준캐릭터설정!$A:$E,5,FALSE)</f>
        <v>75</v>
      </c>
      <c r="F51">
        <v>5</v>
      </c>
      <c r="G51">
        <v>1</v>
      </c>
      <c r="H51">
        <v>0</v>
      </c>
      <c r="I51">
        <v>0</v>
      </c>
      <c r="J51">
        <v>0</v>
      </c>
      <c r="K51" s="2">
        <f t="shared" si="0"/>
        <v>8.1999999999999993</v>
      </c>
      <c r="L51" s="2">
        <f t="shared" si="2"/>
        <v>7.2</v>
      </c>
    </row>
    <row r="52" spans="1:13" x14ac:dyDescent="0.3">
      <c r="A52">
        <v>50050</v>
      </c>
      <c r="B52" s="1" t="str">
        <f>VLOOKUP($A52,Table_Data_Map!$A:$F,2,FALSE)</f>
        <v>시험 3</v>
      </c>
      <c r="C52" s="1">
        <f>VLOOKUP($A52,Table_Data_Map!$A:$F,6,FALSE)</f>
        <v>1</v>
      </c>
      <c r="D52" s="1">
        <f>VLOOKUP($C52,표준캐릭터설정!$A:$E,4,FALSE)</f>
        <v>7.8125</v>
      </c>
      <c r="E52" s="1">
        <f>VLOOKUP($C52,표준캐릭터설정!$A:$E,5,FALSE)</f>
        <v>75</v>
      </c>
      <c r="F52">
        <v>5</v>
      </c>
      <c r="G52">
        <v>1</v>
      </c>
      <c r="H52">
        <v>0</v>
      </c>
      <c r="I52">
        <v>0</v>
      </c>
      <c r="J52">
        <v>0</v>
      </c>
      <c r="K52" s="2">
        <f t="shared" si="0"/>
        <v>8.1999999999999993</v>
      </c>
      <c r="L52" s="2">
        <f t="shared" si="2"/>
        <v>7.2</v>
      </c>
    </row>
    <row r="53" spans="1:13" x14ac:dyDescent="0.3">
      <c r="A53">
        <v>50051</v>
      </c>
      <c r="B53" s="1" t="str">
        <f>VLOOKUP($A53,Table_Data_Map!$A:$F,2,FALSE)</f>
        <v>시험 3</v>
      </c>
      <c r="C53" s="1">
        <f>VLOOKUP($A53,Table_Data_Map!$A:$F,6,FALSE)</f>
        <v>1</v>
      </c>
      <c r="D53" s="1">
        <f>VLOOKUP($C53,표준캐릭터설정!$A:$E,4,FALSE)</f>
        <v>7.8125</v>
      </c>
      <c r="E53" s="1">
        <f>VLOOKUP($C53,표준캐릭터설정!$A:$E,5,FALSE)</f>
        <v>75</v>
      </c>
      <c r="F53">
        <v>5</v>
      </c>
      <c r="G53">
        <v>1</v>
      </c>
      <c r="H53">
        <v>0</v>
      </c>
      <c r="I53">
        <v>0</v>
      </c>
      <c r="J53">
        <v>0</v>
      </c>
      <c r="K53" s="2">
        <f t="shared" si="0"/>
        <v>8.1999999999999993</v>
      </c>
      <c r="L53" s="2">
        <f t="shared" si="2"/>
        <v>7.2</v>
      </c>
    </row>
    <row r="54" spans="1:13" x14ac:dyDescent="0.3">
      <c r="A54">
        <v>50052</v>
      </c>
      <c r="B54" s="1" t="str">
        <f>VLOOKUP($A54,Table_Data_Map!$A:$F,2,FALSE)</f>
        <v>개발자와 대화 4</v>
      </c>
      <c r="C54" s="1">
        <f>VLOOKUP($A54,Table_Data_Map!$A:$F,6,FALSE)</f>
        <v>1</v>
      </c>
      <c r="D54" s="1">
        <f>VLOOKUP($C54,표준캐릭터설정!$A:$E,4,FALSE)</f>
        <v>7.8125</v>
      </c>
      <c r="E54" s="1">
        <f>VLOOKUP($C54,표준캐릭터설정!$A:$E,5,FALSE)</f>
        <v>75</v>
      </c>
      <c r="F54">
        <v>5</v>
      </c>
      <c r="G54">
        <v>3</v>
      </c>
      <c r="H54">
        <v>5</v>
      </c>
      <c r="I54">
        <v>0</v>
      </c>
      <c r="J54">
        <v>0</v>
      </c>
      <c r="K54" s="2">
        <f t="shared" si="0"/>
        <v>7</v>
      </c>
      <c r="L54" s="2">
        <f t="shared" si="2"/>
        <v>6</v>
      </c>
    </row>
    <row r="55" spans="1:13" x14ac:dyDescent="0.3">
      <c r="A55">
        <v>50053</v>
      </c>
      <c r="B55" s="1" t="str">
        <f>VLOOKUP($A55,Table_Data_Map!$A:$F,2,FALSE)</f>
        <v>욕심</v>
      </c>
      <c r="C55" s="1">
        <f>VLOOKUP($A55,Table_Data_Map!$A:$F,6,FALSE)</f>
        <v>4</v>
      </c>
      <c r="D55" s="1">
        <f>VLOOKUP($C55,표준캐릭터설정!$A:$E,4,FALSE)</f>
        <v>56.433408577878104</v>
      </c>
      <c r="E55" s="1">
        <f>VLOOKUP($C55,표준캐릭터설정!$A:$E,5,FALSE)</f>
        <v>99</v>
      </c>
      <c r="F55">
        <v>11</v>
      </c>
      <c r="G55">
        <v>3</v>
      </c>
      <c r="H55">
        <v>0</v>
      </c>
      <c r="I55">
        <v>0</v>
      </c>
      <c r="J55">
        <v>0</v>
      </c>
      <c r="K55" s="2">
        <f t="shared" si="0"/>
        <v>6.2</v>
      </c>
      <c r="L55" s="2">
        <f t="shared" si="2"/>
        <v>5.2</v>
      </c>
    </row>
    <row r="56" spans="1:13" x14ac:dyDescent="0.3">
      <c r="A56">
        <v>50054</v>
      </c>
      <c r="B56" s="1" t="str">
        <f>VLOOKUP($A56,Table_Data_Map!$A:$F,2,FALSE)</f>
        <v>죽은 자의 동굴  1층</v>
      </c>
      <c r="C56" s="1">
        <f>VLOOKUP($A56,Table_Data_Map!$A:$F,6,FALSE)</f>
        <v>4</v>
      </c>
      <c r="D56" s="1">
        <f>VLOOKUP($C56,표준캐릭터설정!$A:$E,4,FALSE)</f>
        <v>56.433408577878104</v>
      </c>
      <c r="E56" s="1">
        <f>VLOOKUP($C56,표준캐릭터설정!$A:$E,5,FALSE)</f>
        <v>99</v>
      </c>
      <c r="F56">
        <v>12</v>
      </c>
      <c r="G56">
        <v>2</v>
      </c>
      <c r="H56">
        <v>0</v>
      </c>
      <c r="I56">
        <v>1</v>
      </c>
      <c r="J56">
        <v>0</v>
      </c>
      <c r="K56" s="2">
        <f t="shared" si="0"/>
        <v>5.5</v>
      </c>
      <c r="L56" s="2">
        <f t="shared" si="2"/>
        <v>4.5</v>
      </c>
    </row>
    <row r="57" spans="1:13" x14ac:dyDescent="0.3">
      <c r="A57">
        <v>50055</v>
      </c>
      <c r="B57" s="1" t="str">
        <f>VLOOKUP($A57,Table_Data_Map!$A:$F,2,FALSE)</f>
        <v>좀비 조심</v>
      </c>
      <c r="C57" s="1">
        <f>VLOOKUP($A57,Table_Data_Map!$A:$F,6,FALSE)</f>
        <v>4</v>
      </c>
      <c r="D57" s="1">
        <f>VLOOKUP($C57,표준캐릭터설정!$A:$E,4,FALSE)</f>
        <v>56.433408577878104</v>
      </c>
      <c r="E57" s="1">
        <f>VLOOKUP($C57,표준캐릭터설정!$A:$E,5,FALSE)</f>
        <v>99</v>
      </c>
      <c r="F57">
        <v>8</v>
      </c>
      <c r="G57">
        <v>1</v>
      </c>
      <c r="H57">
        <v>0</v>
      </c>
      <c r="I57">
        <v>0</v>
      </c>
      <c r="J57">
        <v>1</v>
      </c>
      <c r="K57" s="2">
        <f t="shared" si="0"/>
        <v>3.8000000000000003</v>
      </c>
      <c r="L57" s="2">
        <f t="shared" si="2"/>
        <v>2.8000000000000003</v>
      </c>
    </row>
    <row r="58" spans="1:13" x14ac:dyDescent="0.3">
      <c r="A58">
        <v>50056</v>
      </c>
      <c r="B58" s="1" t="str">
        <f>VLOOKUP($A58,Table_Data_Map!$A:$F,2,FALSE)</f>
        <v>박쥐 사냥</v>
      </c>
      <c r="C58" s="1">
        <f>VLOOKUP($A58,Table_Data_Map!$A:$F,6,FALSE)</f>
        <v>4</v>
      </c>
      <c r="D58" s="1">
        <f>VLOOKUP($C58,표준캐릭터설정!$A:$E,4,FALSE)</f>
        <v>56.433408577878104</v>
      </c>
      <c r="E58" s="1">
        <f>VLOOKUP($C58,표준캐릭터설정!$A:$E,5,FALSE)</f>
        <v>99</v>
      </c>
      <c r="F58">
        <v>11</v>
      </c>
      <c r="G58">
        <v>2</v>
      </c>
      <c r="H58">
        <v>0</v>
      </c>
      <c r="I58">
        <v>0</v>
      </c>
      <c r="J58">
        <v>1</v>
      </c>
      <c r="K58" s="2">
        <f t="shared" si="0"/>
        <v>2.5</v>
      </c>
      <c r="L58" s="2">
        <f t="shared" si="2"/>
        <v>1.5</v>
      </c>
    </row>
    <row r="59" spans="1:13" x14ac:dyDescent="0.3">
      <c r="A59">
        <v>50057</v>
      </c>
      <c r="B59" s="1" t="str">
        <f>VLOOKUP($A59,Table_Data_Map!$A:$F,2,FALSE)</f>
        <v>좀비방</v>
      </c>
      <c r="C59" s="1">
        <f>VLOOKUP($A59,Table_Data_Map!$A:$F,6,FALSE)</f>
        <v>4</v>
      </c>
      <c r="D59" s="1">
        <f>VLOOKUP($C59,표준캐릭터설정!$A:$E,4,FALSE)</f>
        <v>56.433408577878104</v>
      </c>
      <c r="E59" s="1">
        <f>VLOOKUP($C59,표준캐릭터설정!$A:$E,5,FALSE)</f>
        <v>99</v>
      </c>
      <c r="F59">
        <v>0</v>
      </c>
      <c r="G59">
        <v>0</v>
      </c>
      <c r="H59">
        <v>0</v>
      </c>
      <c r="I59">
        <v>0</v>
      </c>
      <c r="J59">
        <v>2</v>
      </c>
      <c r="K59" s="2">
        <f t="shared" si="0"/>
        <v>2.7</v>
      </c>
      <c r="L59" s="2">
        <f t="shared" si="2"/>
        <v>1.7000000000000002</v>
      </c>
    </row>
    <row r="60" spans="1:13" x14ac:dyDescent="0.3">
      <c r="A60">
        <v>50058</v>
      </c>
      <c r="B60" s="1" t="str">
        <f>VLOOKUP($A60,Table_Data_Map!$A:$F,2,FALSE)</f>
        <v>숨겨진 방으로</v>
      </c>
      <c r="C60" s="1">
        <f>VLOOKUP($A60,Table_Data_Map!$A:$F,6,FALSE)</f>
        <v>4</v>
      </c>
      <c r="D60" s="1">
        <f>VLOOKUP($C60,표준캐릭터설정!$A:$E,4,FALSE)</f>
        <v>56.433408577878104</v>
      </c>
      <c r="E60" s="1">
        <f>VLOOKUP($C60,표준캐릭터설정!$A:$E,5,FALSE)</f>
        <v>99</v>
      </c>
      <c r="F60">
        <v>7</v>
      </c>
      <c r="G60">
        <v>0</v>
      </c>
      <c r="H60">
        <v>0</v>
      </c>
      <c r="I60">
        <v>1</v>
      </c>
      <c r="J60">
        <v>0</v>
      </c>
      <c r="K60" s="2">
        <f t="shared" si="0"/>
        <v>7.7</v>
      </c>
      <c r="L60" s="2">
        <f t="shared" si="2"/>
        <v>6.7</v>
      </c>
    </row>
    <row r="61" spans="1:13" x14ac:dyDescent="0.3">
      <c r="A61" s="3">
        <v>50059</v>
      </c>
      <c r="B61" s="4" t="str">
        <f>VLOOKUP($A61,Table_Data_Map!$A:$F,2,FALSE)</f>
        <v>보물방</v>
      </c>
      <c r="C61" s="4">
        <f>VLOOKUP($A61,Table_Data_Map!$A:$F,6,FALSE)</f>
        <v>4</v>
      </c>
      <c r="D61" s="4">
        <f>VLOOKUP($C61,표준캐릭터설정!$A:$E,4,FALSE)</f>
        <v>56.433408577878104</v>
      </c>
      <c r="E61" s="4">
        <f>VLOOKUP($C61,표준캐릭터설정!$A:$E,5,FALSE)</f>
        <v>99</v>
      </c>
      <c r="F61" s="3">
        <v>4</v>
      </c>
      <c r="G61" s="3">
        <v>0</v>
      </c>
      <c r="H61" s="3">
        <v>0</v>
      </c>
      <c r="I61" s="3">
        <v>0</v>
      </c>
      <c r="J61" s="3">
        <v>0</v>
      </c>
      <c r="K61" s="5">
        <v>1</v>
      </c>
      <c r="L61" s="5">
        <v>10</v>
      </c>
      <c r="M61" t="b">
        <v>1</v>
      </c>
    </row>
    <row r="62" spans="1:13" x14ac:dyDescent="0.3">
      <c r="A62">
        <v>50060</v>
      </c>
      <c r="B62" s="1" t="str">
        <f>VLOOKUP($A62,Table_Data_Map!$A:$F,2,FALSE)</f>
        <v>동굴 1층</v>
      </c>
      <c r="C62" s="1">
        <f>VLOOKUP($A62,Table_Data_Map!$A:$F,6,FALSE)</f>
        <v>4</v>
      </c>
      <c r="D62" s="1">
        <f>VLOOKUP($C62,표준캐릭터설정!$A:$E,4,FALSE)</f>
        <v>56.433408577878104</v>
      </c>
      <c r="E62" s="1">
        <f>VLOOKUP($C62,표준캐릭터설정!$A:$E,5,FALSE)</f>
        <v>99</v>
      </c>
      <c r="F62">
        <v>6</v>
      </c>
      <c r="G62">
        <v>1</v>
      </c>
      <c r="H62">
        <v>0</v>
      </c>
      <c r="I62">
        <v>0</v>
      </c>
      <c r="J62">
        <v>0</v>
      </c>
      <c r="K62" s="2">
        <f t="shared" si="0"/>
        <v>8.4</v>
      </c>
      <c r="L62" s="2">
        <f t="shared" si="2"/>
        <v>7.4</v>
      </c>
    </row>
    <row r="63" spans="1:13" x14ac:dyDescent="0.3">
      <c r="A63">
        <v>50061</v>
      </c>
      <c r="B63" s="1" t="str">
        <f>VLOOKUP($A63,Table_Data_Map!$A:$F,2,FALSE)</f>
        <v>믿음</v>
      </c>
      <c r="C63" s="1">
        <f>VLOOKUP($A63,Table_Data_Map!$A:$F,6,FALSE)</f>
        <v>4</v>
      </c>
      <c r="D63" s="1">
        <f>VLOOKUP($C63,표준캐릭터설정!$A:$E,4,FALSE)</f>
        <v>56.433408577878104</v>
      </c>
      <c r="E63" s="1">
        <f>VLOOKUP($C63,표준캐릭터설정!$A:$E,5,FALSE)</f>
        <v>99</v>
      </c>
      <c r="F63">
        <v>6</v>
      </c>
      <c r="G63">
        <v>1</v>
      </c>
      <c r="H63">
        <v>0</v>
      </c>
      <c r="I63">
        <v>0</v>
      </c>
      <c r="J63">
        <v>0</v>
      </c>
      <c r="K63" s="2">
        <f t="shared" si="0"/>
        <v>8.4</v>
      </c>
      <c r="L63" s="2">
        <f t="shared" si="2"/>
        <v>7.4</v>
      </c>
    </row>
    <row r="64" spans="1:13" x14ac:dyDescent="0.3">
      <c r="A64">
        <v>50062</v>
      </c>
      <c r="B64" s="1" t="str">
        <f>VLOOKUP($A64,Table_Data_Map!$A:$F,2,FALSE)</f>
        <v>만족</v>
      </c>
      <c r="C64" s="1">
        <f>VLOOKUP($A64,Table_Data_Map!$A:$F,6,FALSE)</f>
        <v>4</v>
      </c>
      <c r="D64" s="1">
        <f>VLOOKUP($C64,표준캐릭터설정!$A:$E,4,FALSE)</f>
        <v>56.433408577878104</v>
      </c>
      <c r="E64" s="1">
        <f>VLOOKUP($C64,표준캐릭터설정!$A:$E,5,FALSE)</f>
        <v>99</v>
      </c>
      <c r="F64">
        <v>7</v>
      </c>
      <c r="G64">
        <v>1</v>
      </c>
      <c r="H64">
        <v>0</v>
      </c>
      <c r="I64">
        <v>2</v>
      </c>
      <c r="J64">
        <v>0</v>
      </c>
      <c r="K64" s="2">
        <f t="shared" si="0"/>
        <v>6.7</v>
      </c>
      <c r="L64" s="2">
        <f t="shared" si="2"/>
        <v>5.7</v>
      </c>
    </row>
    <row r="65" spans="1:12" x14ac:dyDescent="0.3">
      <c r="A65">
        <v>50063</v>
      </c>
      <c r="B65" s="1" t="str">
        <f>VLOOKUP($A65,Table_Data_Map!$A:$F,2,FALSE)</f>
        <v>지하 2층으로</v>
      </c>
      <c r="C65" s="1">
        <f>VLOOKUP($A65,Table_Data_Map!$A:$F,6,FALSE)</f>
        <v>4</v>
      </c>
      <c r="D65" s="1">
        <f>VLOOKUP($C65,표준캐릭터설정!$A:$E,4,FALSE)</f>
        <v>56.433408577878104</v>
      </c>
      <c r="E65" s="1">
        <f>VLOOKUP($C65,표준캐릭터설정!$A:$E,5,FALSE)</f>
        <v>99</v>
      </c>
      <c r="F65">
        <v>9</v>
      </c>
      <c r="G65">
        <v>5</v>
      </c>
      <c r="H65">
        <v>0</v>
      </c>
      <c r="I65">
        <v>0</v>
      </c>
      <c r="J65">
        <v>0</v>
      </c>
      <c r="K65" s="2">
        <f t="shared" si="0"/>
        <v>6.2</v>
      </c>
      <c r="L65" s="2">
        <f t="shared" si="2"/>
        <v>5.2</v>
      </c>
    </row>
    <row r="66" spans="1:12" x14ac:dyDescent="0.3">
      <c r="A66">
        <v>50064</v>
      </c>
      <c r="B66" s="1" t="str">
        <f>VLOOKUP($A66,Table_Data_Map!$A:$F,2,FALSE)</f>
        <v>죽은 자의 동굴 2층</v>
      </c>
      <c r="C66" s="1">
        <f>VLOOKUP($A66,Table_Data_Map!$A:$F,6,FALSE)</f>
        <v>4</v>
      </c>
      <c r="D66" s="1">
        <f>VLOOKUP($C66,표준캐릭터설정!$A:$E,4,FALSE)</f>
        <v>56.433408577878104</v>
      </c>
      <c r="E66" s="1">
        <f>VLOOKUP($C66,표준캐릭터설정!$A:$E,5,FALSE)</f>
        <v>99</v>
      </c>
      <c r="F66">
        <v>12</v>
      </c>
      <c r="G66">
        <v>5</v>
      </c>
      <c r="H66">
        <v>0</v>
      </c>
      <c r="I66">
        <v>1</v>
      </c>
      <c r="J66">
        <v>0</v>
      </c>
      <c r="K66" s="2">
        <f t="shared" si="0"/>
        <v>4.5999999999999996</v>
      </c>
      <c r="L66" s="2">
        <f t="shared" si="2"/>
        <v>3.6</v>
      </c>
    </row>
    <row r="67" spans="1:12" x14ac:dyDescent="0.3">
      <c r="A67">
        <v>50065</v>
      </c>
      <c r="B67" s="1" t="str">
        <f>VLOOKUP($A67,Table_Data_Map!$A:$F,2,FALSE)</f>
        <v>구울 조심</v>
      </c>
      <c r="C67" s="1">
        <f>VLOOKUP($A67,Table_Data_Map!$A:$F,6,FALSE)</f>
        <v>4</v>
      </c>
      <c r="D67" s="1">
        <f>VLOOKUP($C67,표준캐릭터설정!$A:$E,4,FALSE)</f>
        <v>56.433408577878104</v>
      </c>
      <c r="E67" s="1">
        <f>VLOOKUP($C67,표준캐릭터설정!$A:$E,5,FALSE)</f>
        <v>99</v>
      </c>
      <c r="F67">
        <v>14</v>
      </c>
      <c r="G67">
        <v>2</v>
      </c>
      <c r="H67">
        <v>0</v>
      </c>
      <c r="I67">
        <v>1</v>
      </c>
      <c r="J67">
        <v>0</v>
      </c>
      <c r="K67" s="2">
        <f t="shared" ref="K67:K81" si="3">$L67+1</f>
        <v>4.8000000000000007</v>
      </c>
      <c r="L67" s="2">
        <f t="shared" si="2"/>
        <v>3.8000000000000003</v>
      </c>
    </row>
    <row r="68" spans="1:12" x14ac:dyDescent="0.3">
      <c r="A68">
        <v>50066</v>
      </c>
      <c r="B68" s="1" t="str">
        <f>VLOOKUP($A68,Table_Data_Map!$A:$F,2,FALSE)</f>
        <v>함정 1</v>
      </c>
      <c r="C68" s="1">
        <f>VLOOKUP($A68,Table_Data_Map!$A:$F,6,FALSE)</f>
        <v>4</v>
      </c>
      <c r="D68" s="1">
        <f>VLOOKUP($C68,표준캐릭터설정!$A:$E,4,FALSE)</f>
        <v>56.433408577878104</v>
      </c>
      <c r="E68" s="1">
        <f>VLOOKUP($C68,표준캐릭터설정!$A:$E,5,FALSE)</f>
        <v>99</v>
      </c>
      <c r="F68">
        <v>9</v>
      </c>
      <c r="G68">
        <v>3</v>
      </c>
      <c r="H68">
        <v>0</v>
      </c>
      <c r="I68">
        <v>0</v>
      </c>
      <c r="J68">
        <v>0</v>
      </c>
      <c r="K68" s="2">
        <f t="shared" si="3"/>
        <v>6.8000000000000007</v>
      </c>
      <c r="L68" s="2">
        <f t="shared" si="2"/>
        <v>5.8000000000000007</v>
      </c>
    </row>
    <row r="69" spans="1:12" x14ac:dyDescent="0.3">
      <c r="A69">
        <v>50067</v>
      </c>
      <c r="B69" s="1" t="str">
        <f>VLOOKUP($A69,Table_Data_Map!$A:$F,2,FALSE)</f>
        <v>구울방</v>
      </c>
      <c r="C69" s="1">
        <f>VLOOKUP($A69,Table_Data_Map!$A:$F,6,FALSE)</f>
        <v>4</v>
      </c>
      <c r="D69" s="1">
        <f>VLOOKUP($C69,표준캐릭터설정!$A:$E,4,FALSE)</f>
        <v>56.433408577878104</v>
      </c>
      <c r="E69" s="1">
        <f>VLOOKUP($C69,표준캐릭터설정!$A:$E,5,FALSE)</f>
        <v>99</v>
      </c>
      <c r="F69">
        <v>0</v>
      </c>
      <c r="G69">
        <v>0</v>
      </c>
      <c r="H69">
        <v>0</v>
      </c>
      <c r="I69">
        <v>0</v>
      </c>
      <c r="J69">
        <v>2</v>
      </c>
      <c r="K69" s="2">
        <f t="shared" si="3"/>
        <v>2.7</v>
      </c>
      <c r="L69" s="2">
        <f t="shared" si="2"/>
        <v>1.7000000000000002</v>
      </c>
    </row>
    <row r="70" spans="1:12" x14ac:dyDescent="0.3">
      <c r="A70">
        <v>50068</v>
      </c>
      <c r="B70" s="1" t="str">
        <f>VLOOKUP($A70,Table_Data_Map!$A:$F,2,FALSE)</f>
        <v>함정 2</v>
      </c>
      <c r="C70" s="1">
        <f>VLOOKUP($A70,Table_Data_Map!$A:$F,6,FALSE)</f>
        <v>4</v>
      </c>
      <c r="D70" s="1">
        <f>VLOOKUP($C70,표준캐릭터설정!$A:$E,4,FALSE)</f>
        <v>56.433408577878104</v>
      </c>
      <c r="E70" s="1">
        <f>VLOOKUP($C70,표준캐릭터설정!$A:$E,5,FALSE)</f>
        <v>99</v>
      </c>
      <c r="F70">
        <v>9</v>
      </c>
      <c r="G70">
        <v>4</v>
      </c>
      <c r="H70">
        <v>0</v>
      </c>
      <c r="I70">
        <v>1</v>
      </c>
      <c r="J70">
        <v>0</v>
      </c>
      <c r="K70" s="2">
        <f t="shared" si="3"/>
        <v>5.8000000000000007</v>
      </c>
      <c r="L70" s="2">
        <f t="shared" si="2"/>
        <v>4.8000000000000007</v>
      </c>
    </row>
    <row r="71" spans="1:12" x14ac:dyDescent="0.3">
      <c r="A71">
        <v>50069</v>
      </c>
      <c r="B71" s="1" t="str">
        <f>VLOOKUP($A71,Table_Data_Map!$A:$F,2,FALSE)</f>
        <v>라미를 찾아서</v>
      </c>
      <c r="C71" s="1">
        <f>VLOOKUP($A71,Table_Data_Map!$A:$F,6,FALSE)</f>
        <v>4</v>
      </c>
      <c r="D71" s="1">
        <f>VLOOKUP($C71,표준캐릭터설정!$A:$E,4,FALSE)</f>
        <v>56.433408577878104</v>
      </c>
      <c r="E71" s="1">
        <f>VLOOKUP($C71,표준캐릭터설정!$A:$E,5,FALSE)</f>
        <v>99</v>
      </c>
      <c r="F71">
        <v>7</v>
      </c>
      <c r="G71">
        <v>1</v>
      </c>
      <c r="H71">
        <v>0</v>
      </c>
      <c r="I71">
        <v>1</v>
      </c>
      <c r="J71">
        <v>0</v>
      </c>
      <c r="K71" s="2">
        <f t="shared" si="3"/>
        <v>7.4</v>
      </c>
      <c r="L71" s="2">
        <f t="shared" si="2"/>
        <v>6.4</v>
      </c>
    </row>
    <row r="72" spans="1:12" x14ac:dyDescent="0.3">
      <c r="A72">
        <v>50070</v>
      </c>
      <c r="B72" s="1" t="str">
        <f>VLOOKUP($A72,Table_Data_Map!$A:$F,2,FALSE)</f>
        <v>라미의 부탁</v>
      </c>
      <c r="C72" s="1">
        <f>VLOOKUP($A72,Table_Data_Map!$A:$F,6,FALSE)</f>
        <v>4</v>
      </c>
      <c r="D72" s="1">
        <f>VLOOKUP($C72,표준캐릭터설정!$A:$E,4,FALSE)</f>
        <v>56.433408577878104</v>
      </c>
      <c r="E72" s="1">
        <f>VLOOKUP($C72,표준캐릭터설정!$A:$E,5,FALSE)</f>
        <v>99</v>
      </c>
      <c r="F72">
        <v>0</v>
      </c>
      <c r="G72">
        <v>0</v>
      </c>
      <c r="H72">
        <v>5</v>
      </c>
      <c r="I72">
        <v>1</v>
      </c>
      <c r="J72">
        <v>0</v>
      </c>
      <c r="K72" s="2">
        <f t="shared" si="3"/>
        <v>9.3000000000000007</v>
      </c>
      <c r="L72" s="2">
        <f t="shared" si="2"/>
        <v>8.3000000000000007</v>
      </c>
    </row>
    <row r="73" spans="1:12" x14ac:dyDescent="0.3">
      <c r="A73">
        <v>50071</v>
      </c>
      <c r="B73" s="1" t="str">
        <f>VLOOKUP($A73,Table_Data_Map!$A:$F,2,FALSE)</f>
        <v>좀비의 영혼</v>
      </c>
      <c r="C73" s="1">
        <f>VLOOKUP($A73,Table_Data_Map!$A:$F,6,FALSE)</f>
        <v>4</v>
      </c>
      <c r="D73" s="1">
        <f>VLOOKUP($C73,표준캐릭터설정!$A:$E,4,FALSE)</f>
        <v>56.433408577878104</v>
      </c>
      <c r="E73" s="1">
        <f>VLOOKUP($C73,표준캐릭터설정!$A:$E,5,FALSE)</f>
        <v>99</v>
      </c>
      <c r="F73">
        <v>2</v>
      </c>
      <c r="G73">
        <v>0</v>
      </c>
      <c r="H73">
        <v>0</v>
      </c>
      <c r="I73">
        <v>0</v>
      </c>
      <c r="J73">
        <v>1</v>
      </c>
      <c r="K73" s="2">
        <f t="shared" si="3"/>
        <v>6</v>
      </c>
      <c r="L73" s="2">
        <f t="shared" si="2"/>
        <v>5</v>
      </c>
    </row>
    <row r="74" spans="1:12" x14ac:dyDescent="0.3">
      <c r="A74">
        <v>50072</v>
      </c>
      <c r="B74" s="1" t="str">
        <f>VLOOKUP($A74,Table_Data_Map!$A:$F,2,FALSE)</f>
        <v>라미에게 줄 선물</v>
      </c>
      <c r="C74" s="1">
        <f>VLOOKUP($A74,Table_Data_Map!$A:$F,6,FALSE)</f>
        <v>4</v>
      </c>
      <c r="D74" s="1">
        <f>VLOOKUP($C74,표준캐릭터설정!$A:$E,4,FALSE)</f>
        <v>56.433408577878104</v>
      </c>
      <c r="E74" s="1">
        <f>VLOOKUP($C74,표준캐릭터설정!$A:$E,5,FALSE)</f>
        <v>99</v>
      </c>
      <c r="F74">
        <v>2</v>
      </c>
      <c r="G74">
        <v>2</v>
      </c>
      <c r="H74">
        <v>6</v>
      </c>
      <c r="I74">
        <v>0</v>
      </c>
      <c r="J74">
        <v>0</v>
      </c>
      <c r="K74" s="2">
        <f t="shared" si="3"/>
        <v>8.6999999999999993</v>
      </c>
      <c r="L74" s="2">
        <f t="shared" si="2"/>
        <v>7.7</v>
      </c>
    </row>
    <row r="75" spans="1:12" x14ac:dyDescent="0.3">
      <c r="A75">
        <v>50073</v>
      </c>
      <c r="B75" s="1" t="str">
        <f>VLOOKUP($A75,Table_Data_Map!$A:$F,2,FALSE)</f>
        <v>라미의 조언</v>
      </c>
      <c r="C75" s="1">
        <f>VLOOKUP($A75,Table_Data_Map!$A:$F,6,FALSE)</f>
        <v>4</v>
      </c>
      <c r="D75" s="1">
        <f>VLOOKUP($C75,표준캐릭터설정!$A:$E,4,FALSE)</f>
        <v>56.433408577878104</v>
      </c>
      <c r="E75" s="1">
        <f>VLOOKUP($C75,표준캐릭터설정!$A:$E,5,FALSE)</f>
        <v>99</v>
      </c>
      <c r="F75">
        <v>0</v>
      </c>
      <c r="G75">
        <v>0</v>
      </c>
      <c r="H75">
        <v>7</v>
      </c>
      <c r="I75">
        <v>1</v>
      </c>
      <c r="J75">
        <v>0</v>
      </c>
      <c r="K75" s="2">
        <f t="shared" si="3"/>
        <v>9.1</v>
      </c>
      <c r="L75" s="2">
        <f t="shared" si="2"/>
        <v>8.1</v>
      </c>
    </row>
    <row r="76" spans="1:12" x14ac:dyDescent="0.3">
      <c r="A76">
        <v>50074</v>
      </c>
      <c r="B76" s="1" t="str">
        <f>VLOOKUP($A76,Table_Data_Map!$A:$F,2,FALSE)</f>
        <v>서큐버스를 찾아서 1</v>
      </c>
      <c r="C76" s="1">
        <f>VLOOKUP($A76,Table_Data_Map!$A:$F,6,FALSE)</f>
        <v>4</v>
      </c>
      <c r="D76" s="1">
        <f>VLOOKUP($C76,표준캐릭터설정!$A:$E,4,FALSE)</f>
        <v>56.433408577878104</v>
      </c>
      <c r="E76" s="1">
        <f>VLOOKUP($C76,표준캐릭터설정!$A:$E,5,FALSE)</f>
        <v>99</v>
      </c>
      <c r="F76">
        <v>14</v>
      </c>
      <c r="G76">
        <v>2</v>
      </c>
      <c r="H76">
        <v>0</v>
      </c>
      <c r="I76">
        <v>1</v>
      </c>
      <c r="J76">
        <v>0</v>
      </c>
      <c r="K76" s="2">
        <f t="shared" si="3"/>
        <v>4.8000000000000007</v>
      </c>
      <c r="L76" s="2">
        <f t="shared" si="2"/>
        <v>3.8000000000000003</v>
      </c>
    </row>
    <row r="77" spans="1:12" x14ac:dyDescent="0.3">
      <c r="A77">
        <v>50075</v>
      </c>
      <c r="B77" s="1" t="str">
        <f>VLOOKUP($A77,Table_Data_Map!$A:$F,2,FALSE)</f>
        <v>서큐버스를 찾아서 2</v>
      </c>
      <c r="C77" s="1">
        <f>VLOOKUP($A77,Table_Data_Map!$A:$F,6,FALSE)</f>
        <v>4</v>
      </c>
      <c r="D77" s="1">
        <f>VLOOKUP($C77,표준캐릭터설정!$A:$E,4,FALSE)</f>
        <v>56.433408577878104</v>
      </c>
      <c r="E77" s="1">
        <f>VLOOKUP($C77,표준캐릭터설정!$A:$E,5,FALSE)</f>
        <v>99</v>
      </c>
      <c r="F77">
        <v>14</v>
      </c>
      <c r="G77">
        <v>2</v>
      </c>
      <c r="H77">
        <v>0</v>
      </c>
      <c r="I77">
        <v>3</v>
      </c>
      <c r="J77">
        <v>0</v>
      </c>
      <c r="K77" s="2">
        <f t="shared" si="3"/>
        <v>3.4000000000000004</v>
      </c>
      <c r="L77" s="2">
        <f t="shared" si="2"/>
        <v>2.4000000000000004</v>
      </c>
    </row>
    <row r="78" spans="1:12" x14ac:dyDescent="0.3">
      <c r="A78">
        <v>50076</v>
      </c>
      <c r="B78" s="1" t="str">
        <f>VLOOKUP($A78,Table_Data_Map!$A:$F,2,FALSE)</f>
        <v>서큐버스 처치</v>
      </c>
      <c r="C78" s="1">
        <f>VLOOKUP($A78,Table_Data_Map!$A:$F,6,FALSE)</f>
        <v>4</v>
      </c>
      <c r="D78" s="1">
        <f>VLOOKUP($C78,표준캐릭터설정!$A:$E,4,FALSE)</f>
        <v>56.433408577878104</v>
      </c>
      <c r="E78" s="1">
        <f>VLOOKUP($C78,표준캐릭터설정!$A:$E,5,FALSE)</f>
        <v>99</v>
      </c>
      <c r="F78">
        <v>0</v>
      </c>
      <c r="G78">
        <v>0</v>
      </c>
      <c r="H78">
        <v>0</v>
      </c>
      <c r="I78">
        <v>0</v>
      </c>
      <c r="J78">
        <v>2</v>
      </c>
      <c r="K78" s="2">
        <f t="shared" si="3"/>
        <v>2.7</v>
      </c>
      <c r="L78" s="2">
        <f t="shared" si="2"/>
        <v>1.7000000000000002</v>
      </c>
    </row>
    <row r="79" spans="1:12" x14ac:dyDescent="0.3">
      <c r="A79">
        <v>50077</v>
      </c>
      <c r="B79" s="1" t="str">
        <f>VLOOKUP($A79,Table_Data_Map!$A:$F,2,FALSE)</f>
        <v>서고로 이동</v>
      </c>
      <c r="C79" s="1">
        <f>VLOOKUP($A79,Table_Data_Map!$A:$F,6,FALSE)</f>
        <v>4</v>
      </c>
      <c r="D79" s="1">
        <f>VLOOKUP($C79,표준캐릭터설정!$A:$E,4,FALSE)</f>
        <v>56.433408577878104</v>
      </c>
      <c r="E79" s="1">
        <f>VLOOKUP($C79,표준캐릭터설정!$A:$E,5,FALSE)</f>
        <v>99</v>
      </c>
      <c r="F79">
        <v>12</v>
      </c>
      <c r="G79">
        <v>4</v>
      </c>
      <c r="H79">
        <v>0</v>
      </c>
      <c r="I79">
        <v>1</v>
      </c>
      <c r="J79">
        <v>0</v>
      </c>
      <c r="K79" s="2">
        <f t="shared" si="3"/>
        <v>4.9000000000000004</v>
      </c>
      <c r="L79" s="2">
        <f t="shared" si="2"/>
        <v>3.9000000000000004</v>
      </c>
    </row>
    <row r="80" spans="1:12" x14ac:dyDescent="0.3">
      <c r="A80">
        <v>50078</v>
      </c>
      <c r="B80" s="1" t="str">
        <f>VLOOKUP($A80,Table_Data_Map!$A:$F,2,FALSE)</f>
        <v>단서</v>
      </c>
      <c r="C80" s="1">
        <f>VLOOKUP($A80,Table_Data_Map!$A:$F,6,FALSE)</f>
        <v>4</v>
      </c>
      <c r="D80" s="1">
        <f>VLOOKUP($C80,표준캐릭터설정!$A:$E,4,FALSE)</f>
        <v>56.433408577878104</v>
      </c>
      <c r="E80" s="1">
        <f>VLOOKUP($C80,표준캐릭터설정!$A:$E,5,FALSE)</f>
        <v>99</v>
      </c>
      <c r="F80">
        <v>4</v>
      </c>
      <c r="G80">
        <v>0</v>
      </c>
      <c r="H80">
        <v>0</v>
      </c>
      <c r="I80">
        <v>0</v>
      </c>
      <c r="J80">
        <v>0</v>
      </c>
      <c r="K80" s="2">
        <f t="shared" si="3"/>
        <v>9.4</v>
      </c>
      <c r="L80" s="2">
        <f t="shared" si="2"/>
        <v>8.4</v>
      </c>
    </row>
    <row r="81" spans="1:12" x14ac:dyDescent="0.3">
      <c r="A81">
        <v>50079</v>
      </c>
      <c r="B81" s="1" t="str">
        <f>VLOOKUP($A81,Table_Data_Map!$A:$F,2,FALSE)</f>
        <v>리바이의 서</v>
      </c>
      <c r="C81" s="1">
        <f>VLOOKUP($A81,Table_Data_Map!$A:$F,6,FALSE)</f>
        <v>4</v>
      </c>
      <c r="D81" s="1">
        <f>VLOOKUP($C81,표준캐릭터설정!$A:$E,4,FALSE)</f>
        <v>56.433408577878104</v>
      </c>
      <c r="E81" s="1">
        <f>VLOOKUP($C81,표준캐릭터설정!$A:$E,5,FALSE)</f>
        <v>99</v>
      </c>
      <c r="F81">
        <v>0</v>
      </c>
      <c r="G81">
        <v>0</v>
      </c>
      <c r="H81">
        <v>5</v>
      </c>
      <c r="I81">
        <v>1</v>
      </c>
      <c r="J81">
        <v>0</v>
      </c>
      <c r="K81" s="2">
        <f t="shared" si="3"/>
        <v>9.3000000000000007</v>
      </c>
      <c r="L81" s="2">
        <f t="shared" ref="L81" si="4">INT((10 - ((F81*32/E81) + (G81 * 0.3) + (H81 / 8) + (I81 * 0.7) + (J81 * 4)) - 0.3) * 10) * 0.1</f>
        <v>8.3000000000000007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selection activeCell="AG4" sqref="AG4"/>
    </sheetView>
  </sheetViews>
  <sheetFormatPr defaultRowHeight="16.5" x14ac:dyDescent="0.3"/>
  <sheetData>
    <row r="1" spans="1:39" x14ac:dyDescent="0.3">
      <c r="A1" t="s">
        <v>0</v>
      </c>
      <c r="B1" t="s">
        <v>20</v>
      </c>
      <c r="C1" t="s">
        <v>676</v>
      </c>
      <c r="D1" t="s">
        <v>677</v>
      </c>
      <c r="E1" t="s">
        <v>21</v>
      </c>
      <c r="F1" t="s">
        <v>3</v>
      </c>
      <c r="L1" t="s">
        <v>10</v>
      </c>
      <c r="S1" t="s">
        <v>17</v>
      </c>
      <c r="Z1" t="s">
        <v>18</v>
      </c>
      <c r="AG1" t="s">
        <v>19</v>
      </c>
    </row>
    <row r="2" spans="1:39" x14ac:dyDescent="0.3"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673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673</v>
      </c>
      <c r="T2" t="s">
        <v>11</v>
      </c>
      <c r="U2" t="s">
        <v>12</v>
      </c>
      <c r="V2" t="s">
        <v>13</v>
      </c>
      <c r="W2" t="s">
        <v>14</v>
      </c>
      <c r="X2" t="s">
        <v>15</v>
      </c>
      <c r="Y2" t="s">
        <v>16</v>
      </c>
      <c r="Z2" t="s">
        <v>673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673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</row>
    <row r="3" spans="1:39" x14ac:dyDescent="0.3">
      <c r="A3">
        <v>1</v>
      </c>
      <c r="B3">
        <f>SUM($M3,$T3,$AA3,$AH3)*(INT(($G3-9)/3)+1)</f>
        <v>8</v>
      </c>
      <c r="C3">
        <f>$P3*(100-$H3)*0.01-($W3+$AD3+$AK3)</f>
        <v>1024</v>
      </c>
      <c r="D3">
        <f>$B3*1000/$C3</f>
        <v>7.8125</v>
      </c>
      <c r="E3">
        <f>설정!$B$1+H3+Q3+X3+AE3+AL3</f>
        <v>75</v>
      </c>
      <c r="F3" t="s">
        <v>199</v>
      </c>
      <c r="G3">
        <f>VLOOKUP($F3,Table_Data_Character!$B:$K,6,FALSE)</f>
        <v>13</v>
      </c>
      <c r="H3">
        <f>VLOOKUP($F3,Table_Data_Character!$B:$K,7,FALSE)</f>
        <v>13</v>
      </c>
      <c r="I3">
        <f>VLOOKUP($F3,Table_Data_Character!$B:$K,8,FALSE)</f>
        <v>13</v>
      </c>
      <c r="J3">
        <f>VLOOKUP($F3,Table_Data_Character!$B:$K,9,FALSE)</f>
        <v>13</v>
      </c>
      <c r="K3">
        <f>VLOOKUP($F3,Table_Data_Character!$B:$K,10,FALSE)</f>
        <v>3</v>
      </c>
      <c r="L3" t="s">
        <v>675</v>
      </c>
      <c r="M3">
        <f>VLOOKUP($L3,Table_Data_Item!$B:$N,8,FALSE)</f>
        <v>4</v>
      </c>
      <c r="N3">
        <f>VLOOKUP($L3,Table_Data_Item!$B:$N,9,FALSE)</f>
        <v>2</v>
      </c>
      <c r="O3">
        <f>VLOOKUP($L3,Table_Data_Item!$B:$N,10,FALSE)</f>
        <v>0</v>
      </c>
      <c r="P3">
        <f>VLOOKUP($L3,Table_Data_Item!$B:$N,11,FALSE)</f>
        <v>1200</v>
      </c>
      <c r="Q3">
        <f>VLOOKUP($L3,Table_Data_Item!$B:$N,12,FALSE)</f>
        <v>0</v>
      </c>
      <c r="R3">
        <f>VLOOKUP($L3,Table_Data_Item!$B:$N,13,FALSE)</f>
        <v>0</v>
      </c>
      <c r="S3" t="s">
        <v>674</v>
      </c>
      <c r="T3">
        <f>VLOOKUP($S3,Table_Data_Item!$B:$N,8,FALSE)</f>
        <v>0</v>
      </c>
      <c r="U3">
        <f>VLOOKUP($S3,Table_Data_Item!$B:$N,9,FALSE)</f>
        <v>0</v>
      </c>
      <c r="V3">
        <f>VLOOKUP($S3,Table_Data_Item!$B:$N,10,FALSE)</f>
        <v>5</v>
      </c>
      <c r="W3">
        <f>VLOOKUP($S3,Table_Data_Item!$B:$N,11,FALSE)</f>
        <v>0</v>
      </c>
      <c r="X3">
        <f>VLOOKUP($S3,Table_Data_Item!$B:$N,12,FALSE)</f>
        <v>0</v>
      </c>
      <c r="Y3">
        <f>VLOOKUP($S3,Table_Data_Item!$B:$N,13,FALSE)</f>
        <v>0</v>
      </c>
      <c r="Z3" t="s">
        <v>687</v>
      </c>
      <c r="AA3">
        <f>VLOOKUP($Z3,Table_Data_Item!$B:$N,8,FALSE)</f>
        <v>0</v>
      </c>
      <c r="AB3">
        <f>VLOOKUP($Z3,Table_Data_Item!$B:$N,9,FALSE)</f>
        <v>0</v>
      </c>
      <c r="AC3">
        <f>VLOOKUP($Z3,Table_Data_Item!$B:$N,10,FALSE)</f>
        <v>1</v>
      </c>
      <c r="AD3">
        <f>VLOOKUP($Z3,Table_Data_Item!$B:$N,11,FALSE)</f>
        <v>0</v>
      </c>
      <c r="AE3">
        <f>VLOOKUP($Z3,Table_Data_Item!$B:$N,12,FALSE)</f>
        <v>12</v>
      </c>
      <c r="AF3">
        <f>VLOOKUP($Z3,Table_Data_Item!$B:$N,13,FALSE)</f>
        <v>0</v>
      </c>
      <c r="AG3" t="s">
        <v>870</v>
      </c>
      <c r="AH3">
        <f>VLOOKUP($AG3,Table_Data_Item!$B:$N,8,FALSE)</f>
        <v>0</v>
      </c>
      <c r="AI3">
        <f>VLOOKUP($AG3,Table_Data_Item!$B:$N,9,FALSE)</f>
        <v>0</v>
      </c>
      <c r="AJ3">
        <f>VLOOKUP($AG3,Table_Data_Item!$B:$N,10,FALSE)</f>
        <v>0</v>
      </c>
      <c r="AK3">
        <f>VLOOKUP($AG3,Table_Data_Item!$B:$N,11,FALSE)</f>
        <v>20</v>
      </c>
      <c r="AL3">
        <f>VLOOKUP($AG3,Table_Data_Item!$B:$N,12,FALSE)</f>
        <v>0</v>
      </c>
      <c r="AM3">
        <f>VLOOKUP($AG3,Table_Data_Item!$B:$N,13,FALSE)</f>
        <v>0</v>
      </c>
    </row>
    <row r="4" spans="1:39" x14ac:dyDescent="0.3">
      <c r="A4">
        <v>2</v>
      </c>
      <c r="B4">
        <f t="shared" ref="B4:B7" si="0">SUM($M4,$T4,$AA4,$AH4)*(INT(($G4-9)/3)+1)</f>
        <v>18</v>
      </c>
      <c r="C4">
        <f t="shared" ref="C4:C7" si="1">$P4*(100-$H4)*0.01-($W4+$AD4+$AK4)</f>
        <v>978</v>
      </c>
      <c r="D4">
        <f t="shared" ref="D4:D7" si="2">$B4*1000/$C4</f>
        <v>18.404907975460123</v>
      </c>
      <c r="E4">
        <f>설정!$B$1+H4+Q4+X4+AE4+AL4</f>
        <v>83</v>
      </c>
      <c r="F4" t="s">
        <v>678</v>
      </c>
      <c r="G4">
        <f>VLOOKUP($F4,Table_Data_Character!$B:$K,6,FALSE)</f>
        <v>16</v>
      </c>
      <c r="H4">
        <f>VLOOKUP($F4,Table_Data_Character!$B:$K,7,FALSE)</f>
        <v>16</v>
      </c>
      <c r="I4">
        <f>VLOOKUP($F4,Table_Data_Character!$B:$K,8,FALSE)</f>
        <v>16</v>
      </c>
      <c r="J4">
        <f>VLOOKUP($F4,Table_Data_Character!$B:$K,9,FALSE)</f>
        <v>16</v>
      </c>
      <c r="K4">
        <f>VLOOKUP($F4,Table_Data_Character!$B:$K,10,FALSE)</f>
        <v>6</v>
      </c>
      <c r="L4" t="s">
        <v>681</v>
      </c>
      <c r="M4">
        <f>VLOOKUP($L4,Table_Data_Item!$B:$N,8,FALSE)</f>
        <v>6</v>
      </c>
      <c r="N4">
        <f>VLOOKUP($L4,Table_Data_Item!$B:$N,9,FALSE)</f>
        <v>3</v>
      </c>
      <c r="O4">
        <f>VLOOKUP($L4,Table_Data_Item!$B:$N,10,FALSE)</f>
        <v>0</v>
      </c>
      <c r="P4">
        <f>VLOOKUP($L4,Table_Data_Item!$B:$N,11,FALSE)</f>
        <v>1200</v>
      </c>
      <c r="Q4">
        <f>VLOOKUP($L4,Table_Data_Item!$B:$N,12,FALSE)</f>
        <v>0</v>
      </c>
      <c r="R4">
        <f>VLOOKUP($L4,Table_Data_Item!$B:$N,13,FALSE)</f>
        <v>0</v>
      </c>
      <c r="S4" t="s">
        <v>691</v>
      </c>
      <c r="T4">
        <f>VLOOKUP($S4,Table_Data_Item!$B:$N,8,FALSE)</f>
        <v>0</v>
      </c>
      <c r="U4">
        <f>VLOOKUP($S4,Table_Data_Item!$B:$N,9,FALSE)</f>
        <v>0</v>
      </c>
      <c r="V4">
        <f>VLOOKUP($S4,Table_Data_Item!$B:$N,10,FALSE)</f>
        <v>9</v>
      </c>
      <c r="W4">
        <f>VLOOKUP($S4,Table_Data_Item!$B:$N,11,FALSE)</f>
        <v>0</v>
      </c>
      <c r="X4">
        <f>VLOOKUP($S4,Table_Data_Item!$B:$N,12,FALSE)</f>
        <v>0</v>
      </c>
      <c r="Y4">
        <f>VLOOKUP($S4,Table_Data_Item!$B:$N,13,FALSE)</f>
        <v>0</v>
      </c>
      <c r="Z4" t="s">
        <v>688</v>
      </c>
      <c r="AA4">
        <f>VLOOKUP($Z4,Table_Data_Item!$B:$N,8,FALSE)</f>
        <v>0</v>
      </c>
      <c r="AB4">
        <f>VLOOKUP($Z4,Table_Data_Item!$B:$N,9,FALSE)</f>
        <v>0</v>
      </c>
      <c r="AC4">
        <f>VLOOKUP($Z4,Table_Data_Item!$B:$N,10,FALSE)</f>
        <v>3</v>
      </c>
      <c r="AD4">
        <f>VLOOKUP($Z4,Table_Data_Item!$B:$N,11,FALSE)</f>
        <v>0</v>
      </c>
      <c r="AE4">
        <f>VLOOKUP($Z4,Table_Data_Item!$B:$N,12,FALSE)</f>
        <v>17</v>
      </c>
      <c r="AF4">
        <f>VLOOKUP($Z4,Table_Data_Item!$B:$N,13,FALSE)</f>
        <v>0</v>
      </c>
      <c r="AG4" t="s">
        <v>684</v>
      </c>
      <c r="AH4">
        <f>VLOOKUP($AG4,Table_Data_Item!$B:$N,8,FALSE)</f>
        <v>0</v>
      </c>
      <c r="AI4">
        <f>VLOOKUP($AG4,Table_Data_Item!$B:$N,9,FALSE)</f>
        <v>0</v>
      </c>
      <c r="AJ4">
        <f>VLOOKUP($AG4,Table_Data_Item!$B:$N,10,FALSE)</f>
        <v>0</v>
      </c>
      <c r="AK4">
        <f>VLOOKUP($AG4,Table_Data_Item!$B:$N,11,FALSE)</f>
        <v>30</v>
      </c>
      <c r="AL4">
        <f>VLOOKUP($AG4,Table_Data_Item!$B:$N,12,FALSE)</f>
        <v>0</v>
      </c>
      <c r="AM4">
        <f>VLOOKUP($AG4,Table_Data_Item!$B:$N,13,FALSE)</f>
        <v>0</v>
      </c>
    </row>
    <row r="5" spans="1:39" x14ac:dyDescent="0.3">
      <c r="A5">
        <v>3</v>
      </c>
      <c r="B5">
        <f t="shared" si="0"/>
        <v>32</v>
      </c>
      <c r="C5">
        <f t="shared" si="1"/>
        <v>932</v>
      </c>
      <c r="D5">
        <f t="shared" si="2"/>
        <v>34.334763948497852</v>
      </c>
      <c r="E5">
        <f>설정!$B$1+H5+Q5+X5+AE5+AL5</f>
        <v>91</v>
      </c>
      <c r="F5" t="s">
        <v>679</v>
      </c>
      <c r="G5">
        <f>VLOOKUP($F5,Table_Data_Character!$B:$K,6,FALSE)</f>
        <v>19</v>
      </c>
      <c r="H5">
        <f>VLOOKUP($F5,Table_Data_Character!$B:$K,7,FALSE)</f>
        <v>19</v>
      </c>
      <c r="I5">
        <f>VLOOKUP($F5,Table_Data_Character!$B:$K,8,FALSE)</f>
        <v>19</v>
      </c>
      <c r="J5">
        <f>VLOOKUP($F5,Table_Data_Character!$B:$K,9,FALSE)</f>
        <v>19</v>
      </c>
      <c r="K5">
        <f>VLOOKUP($F5,Table_Data_Character!$B:$K,10,FALSE)</f>
        <v>9</v>
      </c>
      <c r="L5" t="s">
        <v>682</v>
      </c>
      <c r="M5">
        <f>VLOOKUP($L5,Table_Data_Item!$B:$N,8,FALSE)</f>
        <v>8</v>
      </c>
      <c r="N5">
        <f>VLOOKUP($L5,Table_Data_Item!$B:$N,9,FALSE)</f>
        <v>5</v>
      </c>
      <c r="O5">
        <f>VLOOKUP($L5,Table_Data_Item!$B:$N,10,FALSE)</f>
        <v>0</v>
      </c>
      <c r="P5">
        <f>VLOOKUP($L5,Table_Data_Item!$B:$N,11,FALSE)</f>
        <v>1200</v>
      </c>
      <c r="Q5">
        <f>VLOOKUP($L5,Table_Data_Item!$B:$N,12,FALSE)</f>
        <v>0</v>
      </c>
      <c r="R5">
        <f>VLOOKUP($L5,Table_Data_Item!$B:$N,13,FALSE)</f>
        <v>0</v>
      </c>
      <c r="S5" t="s">
        <v>692</v>
      </c>
      <c r="T5">
        <f>VLOOKUP($S5,Table_Data_Item!$B:$N,8,FALSE)</f>
        <v>0</v>
      </c>
      <c r="U5">
        <f>VLOOKUP($S5,Table_Data_Item!$B:$N,9,FALSE)</f>
        <v>0</v>
      </c>
      <c r="V5">
        <f>VLOOKUP($S5,Table_Data_Item!$B:$N,10,FALSE)</f>
        <v>13</v>
      </c>
      <c r="W5">
        <f>VLOOKUP($S5,Table_Data_Item!$B:$N,11,FALSE)</f>
        <v>0</v>
      </c>
      <c r="X5">
        <f>VLOOKUP($S5,Table_Data_Item!$B:$N,12,FALSE)</f>
        <v>0</v>
      </c>
      <c r="Y5">
        <f>VLOOKUP($S5,Table_Data_Item!$B:$N,13,FALSE)</f>
        <v>0</v>
      </c>
      <c r="Z5" t="s">
        <v>689</v>
      </c>
      <c r="AA5">
        <f>VLOOKUP($Z5,Table_Data_Item!$B:$N,8,FALSE)</f>
        <v>0</v>
      </c>
      <c r="AB5">
        <f>VLOOKUP($Z5,Table_Data_Item!$B:$N,9,FALSE)</f>
        <v>0</v>
      </c>
      <c r="AC5">
        <f>VLOOKUP($Z5,Table_Data_Item!$B:$N,10,FALSE)</f>
        <v>5</v>
      </c>
      <c r="AD5">
        <f>VLOOKUP($Z5,Table_Data_Item!$B:$N,11,FALSE)</f>
        <v>0</v>
      </c>
      <c r="AE5">
        <f>VLOOKUP($Z5,Table_Data_Item!$B:$N,12,FALSE)</f>
        <v>22</v>
      </c>
      <c r="AF5">
        <f>VLOOKUP($Z5,Table_Data_Item!$B:$N,13,FALSE)</f>
        <v>0</v>
      </c>
      <c r="AG5" t="s">
        <v>685</v>
      </c>
      <c r="AH5">
        <f>VLOOKUP($AG5,Table_Data_Item!$B:$N,8,FALSE)</f>
        <v>0</v>
      </c>
      <c r="AI5">
        <f>VLOOKUP($AG5,Table_Data_Item!$B:$N,9,FALSE)</f>
        <v>0</v>
      </c>
      <c r="AJ5">
        <f>VLOOKUP($AG5,Table_Data_Item!$B:$N,10,FALSE)</f>
        <v>0</v>
      </c>
      <c r="AK5">
        <f>VLOOKUP($AG5,Table_Data_Item!$B:$N,11,FALSE)</f>
        <v>40</v>
      </c>
      <c r="AL5">
        <f>VLOOKUP($AG5,Table_Data_Item!$B:$N,12,FALSE)</f>
        <v>0</v>
      </c>
      <c r="AM5">
        <f>VLOOKUP($AG5,Table_Data_Item!$B:$N,13,FALSE)</f>
        <v>0</v>
      </c>
    </row>
    <row r="6" spans="1:39" x14ac:dyDescent="0.3">
      <c r="A6">
        <v>4</v>
      </c>
      <c r="B6">
        <f t="shared" si="0"/>
        <v>50</v>
      </c>
      <c r="C6">
        <f t="shared" si="1"/>
        <v>886</v>
      </c>
      <c r="D6">
        <f t="shared" si="2"/>
        <v>56.433408577878104</v>
      </c>
      <c r="E6">
        <f>설정!$B$1+H6+Q6+X6+AE6+AL6</f>
        <v>99</v>
      </c>
      <c r="F6" t="s">
        <v>680</v>
      </c>
      <c r="G6">
        <f>VLOOKUP($F6,Table_Data_Character!$B:$K,6,FALSE)</f>
        <v>22</v>
      </c>
      <c r="H6">
        <f>VLOOKUP($F6,Table_Data_Character!$B:$K,7,FALSE)</f>
        <v>22</v>
      </c>
      <c r="I6">
        <f>VLOOKUP($F6,Table_Data_Character!$B:$K,8,FALSE)</f>
        <v>22</v>
      </c>
      <c r="J6">
        <f>VLOOKUP($F6,Table_Data_Character!$B:$K,9,FALSE)</f>
        <v>22</v>
      </c>
      <c r="K6">
        <f>VLOOKUP($F6,Table_Data_Character!$B:$K,10,FALSE)</f>
        <v>12</v>
      </c>
      <c r="L6" t="s">
        <v>683</v>
      </c>
      <c r="M6">
        <f>VLOOKUP($L6,Table_Data_Item!$B:$N,8,FALSE)</f>
        <v>10</v>
      </c>
      <c r="N6">
        <f>VLOOKUP($L6,Table_Data_Item!$B:$N,9,FALSE)</f>
        <v>6</v>
      </c>
      <c r="O6">
        <f>VLOOKUP($L6,Table_Data_Item!$B:$N,10,FALSE)</f>
        <v>0</v>
      </c>
      <c r="P6">
        <f>VLOOKUP($L6,Table_Data_Item!$B:$N,11,FALSE)</f>
        <v>1200</v>
      </c>
      <c r="Q6">
        <f>VLOOKUP($L6,Table_Data_Item!$B:$N,12,FALSE)</f>
        <v>0</v>
      </c>
      <c r="R6">
        <f>VLOOKUP($L6,Table_Data_Item!$B:$N,13,FALSE)</f>
        <v>0</v>
      </c>
      <c r="S6" t="s">
        <v>693</v>
      </c>
      <c r="T6">
        <f>VLOOKUP($S6,Table_Data_Item!$B:$N,8,FALSE)</f>
        <v>0</v>
      </c>
      <c r="U6">
        <f>VLOOKUP($S6,Table_Data_Item!$B:$N,9,FALSE)</f>
        <v>0</v>
      </c>
      <c r="V6">
        <f>VLOOKUP($S6,Table_Data_Item!$B:$N,10,FALSE)</f>
        <v>17</v>
      </c>
      <c r="W6">
        <f>VLOOKUP($S6,Table_Data_Item!$B:$N,11,FALSE)</f>
        <v>0</v>
      </c>
      <c r="X6">
        <f>VLOOKUP($S6,Table_Data_Item!$B:$N,12,FALSE)</f>
        <v>0</v>
      </c>
      <c r="Y6">
        <f>VLOOKUP($S6,Table_Data_Item!$B:$N,13,FALSE)</f>
        <v>0</v>
      </c>
      <c r="Z6" t="s">
        <v>690</v>
      </c>
      <c r="AA6">
        <f>VLOOKUP($Z6,Table_Data_Item!$B:$N,8,FALSE)</f>
        <v>0</v>
      </c>
      <c r="AB6">
        <f>VLOOKUP($Z6,Table_Data_Item!$B:$N,9,FALSE)</f>
        <v>0</v>
      </c>
      <c r="AC6">
        <f>VLOOKUP($Z6,Table_Data_Item!$B:$N,10,FALSE)</f>
        <v>7</v>
      </c>
      <c r="AD6">
        <f>VLOOKUP($Z6,Table_Data_Item!$B:$N,11,FALSE)</f>
        <v>0</v>
      </c>
      <c r="AE6">
        <f>VLOOKUP($Z6,Table_Data_Item!$B:$N,12,FALSE)</f>
        <v>27</v>
      </c>
      <c r="AF6">
        <f>VLOOKUP($Z6,Table_Data_Item!$B:$N,13,FALSE)</f>
        <v>0</v>
      </c>
      <c r="AG6" t="s">
        <v>686</v>
      </c>
      <c r="AH6">
        <f>VLOOKUP($AG6,Table_Data_Item!$B:$N,8,FALSE)</f>
        <v>0</v>
      </c>
      <c r="AI6">
        <f>VLOOKUP($AG6,Table_Data_Item!$B:$N,9,FALSE)</f>
        <v>0</v>
      </c>
      <c r="AJ6">
        <f>VLOOKUP($AG6,Table_Data_Item!$B:$N,10,FALSE)</f>
        <v>0</v>
      </c>
      <c r="AK6">
        <f>VLOOKUP($AG6,Table_Data_Item!$B:$N,11,FALSE)</f>
        <v>50</v>
      </c>
      <c r="AL6">
        <f>VLOOKUP($AG6,Table_Data_Item!$B:$N,12,FALSE)</f>
        <v>0</v>
      </c>
      <c r="AM6">
        <f>VLOOKUP($AG6,Table_Data_Item!$B:$N,13,FALSE)</f>
        <v>0</v>
      </c>
    </row>
    <row r="7" spans="1:39" x14ac:dyDescent="0.3">
      <c r="A7">
        <v>99</v>
      </c>
      <c r="B7">
        <f t="shared" si="0"/>
        <v>4</v>
      </c>
      <c r="C7">
        <f t="shared" si="1"/>
        <v>1034</v>
      </c>
      <c r="D7">
        <f t="shared" si="2"/>
        <v>3.8684719535783367</v>
      </c>
      <c r="E7">
        <f>설정!$B$1+H7+Q7+X7+AE7+AL7</f>
        <v>68</v>
      </c>
      <c r="F7" t="s">
        <v>38</v>
      </c>
      <c r="G7">
        <f>VLOOKUP($F7,Table_Data_Character!$B:$K,6,FALSE)</f>
        <v>13</v>
      </c>
      <c r="H7">
        <f>VLOOKUP($F7,Table_Data_Character!$B:$K,7,FALSE)</f>
        <v>13</v>
      </c>
      <c r="I7">
        <f>VLOOKUP($F7,Table_Data_Character!$B:$K,8,FALSE)</f>
        <v>13</v>
      </c>
      <c r="J7">
        <f>VLOOKUP($F7,Table_Data_Character!$B:$K,9,FALSE)</f>
        <v>13</v>
      </c>
      <c r="K7">
        <f>VLOOKUP($F7,Table_Data_Character!$B:$K,10,FALSE)</f>
        <v>3</v>
      </c>
      <c r="L7" t="s">
        <v>866</v>
      </c>
      <c r="M7">
        <f>VLOOKUP($L7,Table_Data_Item!$B:$N,8,FALSE)</f>
        <v>2</v>
      </c>
      <c r="N7">
        <f>VLOOKUP($L7,Table_Data_Item!$B:$N,9,FALSE)</f>
        <v>2</v>
      </c>
      <c r="O7">
        <f>VLOOKUP($L7,Table_Data_Item!$B:$N,10,FALSE)</f>
        <v>0</v>
      </c>
      <c r="P7">
        <f>VLOOKUP($L7,Table_Data_Item!$B:$N,11,FALSE)</f>
        <v>1200</v>
      </c>
      <c r="Q7">
        <f>VLOOKUP($L7,Table_Data_Item!$B:$N,12,FALSE)</f>
        <v>0</v>
      </c>
      <c r="R7">
        <f>VLOOKUP($L7,Table_Data_Item!$B:$N,13,FALSE)</f>
        <v>0</v>
      </c>
      <c r="S7" t="s">
        <v>867</v>
      </c>
      <c r="T7">
        <f>VLOOKUP($S7,Table_Data_Item!$B:$N,8,FALSE)</f>
        <v>0</v>
      </c>
      <c r="U7">
        <f>VLOOKUP($S7,Table_Data_Item!$B:$N,9,FALSE)</f>
        <v>0</v>
      </c>
      <c r="V7">
        <f>VLOOKUP($S7,Table_Data_Item!$B:$N,10,FALSE)</f>
        <v>2</v>
      </c>
      <c r="W7">
        <f>VLOOKUP($S7,Table_Data_Item!$B:$N,11,FALSE)</f>
        <v>0</v>
      </c>
      <c r="X7">
        <f>VLOOKUP($S7,Table_Data_Item!$B:$N,12,FALSE)</f>
        <v>0</v>
      </c>
      <c r="Y7">
        <f>VLOOKUP($S7,Table_Data_Item!$B:$N,13,FALSE)</f>
        <v>0</v>
      </c>
      <c r="Z7" t="s">
        <v>868</v>
      </c>
      <c r="AA7">
        <f>VLOOKUP($Z7,Table_Data_Item!$B:$N,8,FALSE)</f>
        <v>0</v>
      </c>
      <c r="AB7">
        <f>VLOOKUP($Z7,Table_Data_Item!$B:$N,9,FALSE)</f>
        <v>0</v>
      </c>
      <c r="AC7">
        <f>VLOOKUP($Z7,Table_Data_Item!$B:$N,10,FALSE)</f>
        <v>1</v>
      </c>
      <c r="AD7">
        <f>VLOOKUP($Z7,Table_Data_Item!$B:$N,11,FALSE)</f>
        <v>0</v>
      </c>
      <c r="AE7">
        <f>VLOOKUP($Z7,Table_Data_Item!$B:$N,12,FALSE)</f>
        <v>5</v>
      </c>
      <c r="AF7">
        <f>VLOOKUP($Z7,Table_Data_Item!$B:$N,13,FALSE)</f>
        <v>0</v>
      </c>
      <c r="AG7" t="s">
        <v>869</v>
      </c>
      <c r="AH7">
        <f>VLOOKUP($AG7,Table_Data_Item!$B:$N,8,FALSE)</f>
        <v>0</v>
      </c>
      <c r="AI7">
        <f>VLOOKUP($AG7,Table_Data_Item!$B:$N,9,FALSE)</f>
        <v>0</v>
      </c>
      <c r="AJ7">
        <f>VLOOKUP($AG7,Table_Data_Item!$B:$N,10,FALSE)</f>
        <v>0</v>
      </c>
      <c r="AK7">
        <f>VLOOKUP($AG7,Table_Data_Item!$B:$N,11,FALSE)</f>
        <v>10</v>
      </c>
      <c r="AL7">
        <f>VLOOKUP($AG7,Table_Data_Item!$B:$N,12,FALSE)</f>
        <v>0</v>
      </c>
      <c r="AM7">
        <f>VLOOKUP($AG7,Table_Data_Item!$B:$N,13,FALSE)</f>
        <v>0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"/>
    </sheetView>
  </sheetViews>
  <sheetFormatPr defaultRowHeight="16.5" x14ac:dyDescent="0.3"/>
  <sheetData>
    <row r="1" spans="1:2" x14ac:dyDescent="0.3">
      <c r="A1" t="s">
        <v>22</v>
      </c>
      <c r="B1">
        <v>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selection activeCell="C2" sqref="C2"/>
    </sheetView>
  </sheetViews>
  <sheetFormatPr defaultRowHeight="16.5" x14ac:dyDescent="0.3"/>
  <sheetData>
    <row r="1" spans="1:24" x14ac:dyDescent="0.3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23</v>
      </c>
      <c r="H1" t="s">
        <v>24</v>
      </c>
      <c r="I1" t="s">
        <v>143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144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145</v>
      </c>
    </row>
    <row r="2" spans="1:24" x14ac:dyDescent="0.3">
      <c r="A2">
        <v>10000</v>
      </c>
      <c r="B2" t="s">
        <v>146</v>
      </c>
      <c r="C2" t="s">
        <v>147</v>
      </c>
      <c r="D2" t="s">
        <v>148</v>
      </c>
      <c r="E2" t="s">
        <v>149</v>
      </c>
      <c r="F2">
        <v>1</v>
      </c>
      <c r="G2">
        <v>13</v>
      </c>
      <c r="H2">
        <v>13</v>
      </c>
      <c r="I2">
        <v>13</v>
      </c>
      <c r="J2">
        <v>13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W2" t="s">
        <v>39</v>
      </c>
      <c r="X2" t="s">
        <v>40</v>
      </c>
    </row>
    <row r="3" spans="1:24" x14ac:dyDescent="0.3">
      <c r="A3">
        <v>10001</v>
      </c>
      <c r="B3" t="s">
        <v>150</v>
      </c>
      <c r="C3" t="s">
        <v>41</v>
      </c>
      <c r="D3" t="s">
        <v>151</v>
      </c>
      <c r="E3" t="s">
        <v>152</v>
      </c>
      <c r="F3">
        <v>1</v>
      </c>
      <c r="G3">
        <v>13</v>
      </c>
      <c r="H3">
        <v>13</v>
      </c>
      <c r="I3">
        <v>13</v>
      </c>
      <c r="J3">
        <v>13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V3" t="s">
        <v>42</v>
      </c>
      <c r="W3" t="s">
        <v>43</v>
      </c>
      <c r="X3" t="s">
        <v>44</v>
      </c>
    </row>
    <row r="4" spans="1:24" x14ac:dyDescent="0.3">
      <c r="A4">
        <v>10002</v>
      </c>
      <c r="B4" t="s">
        <v>45</v>
      </c>
      <c r="C4" t="s">
        <v>46</v>
      </c>
      <c r="D4" t="s">
        <v>153</v>
      </c>
      <c r="E4" t="s">
        <v>154</v>
      </c>
      <c r="F4">
        <v>1</v>
      </c>
      <c r="G4">
        <v>13</v>
      </c>
      <c r="H4">
        <v>13</v>
      </c>
      <c r="I4">
        <v>13</v>
      </c>
      <c r="J4">
        <v>13</v>
      </c>
      <c r="K4">
        <v>3</v>
      </c>
      <c r="L4">
        <v>2</v>
      </c>
      <c r="M4">
        <v>2</v>
      </c>
      <c r="N4">
        <v>2</v>
      </c>
      <c r="O4">
        <v>2</v>
      </c>
      <c r="P4">
        <v>2</v>
      </c>
      <c r="W4" t="s">
        <v>47</v>
      </c>
      <c r="X4" t="s">
        <v>48</v>
      </c>
    </row>
    <row r="5" spans="1:24" x14ac:dyDescent="0.3">
      <c r="A5">
        <v>10003</v>
      </c>
      <c r="B5" t="s">
        <v>49</v>
      </c>
      <c r="C5" t="s">
        <v>50</v>
      </c>
      <c r="D5" t="s">
        <v>155</v>
      </c>
      <c r="E5" t="s">
        <v>156</v>
      </c>
      <c r="F5">
        <v>1</v>
      </c>
      <c r="G5">
        <v>18</v>
      </c>
      <c r="H5">
        <v>8</v>
      </c>
      <c r="I5">
        <v>10</v>
      </c>
      <c r="J5">
        <v>16</v>
      </c>
      <c r="K5">
        <v>3</v>
      </c>
      <c r="L5">
        <v>2</v>
      </c>
      <c r="M5">
        <v>2</v>
      </c>
      <c r="N5">
        <v>2</v>
      </c>
      <c r="O5">
        <v>2</v>
      </c>
      <c r="P5">
        <v>2</v>
      </c>
      <c r="W5" t="s">
        <v>51</v>
      </c>
      <c r="X5" t="s">
        <v>52</v>
      </c>
    </row>
    <row r="6" spans="1:24" x14ac:dyDescent="0.3">
      <c r="A6">
        <v>10004</v>
      </c>
      <c r="B6" t="s">
        <v>53</v>
      </c>
      <c r="C6" t="s">
        <v>54</v>
      </c>
      <c r="D6" t="s">
        <v>157</v>
      </c>
      <c r="E6" t="s">
        <v>158</v>
      </c>
      <c r="F6">
        <v>1</v>
      </c>
      <c r="G6">
        <v>8</v>
      </c>
      <c r="H6">
        <v>18</v>
      </c>
      <c r="I6">
        <v>16</v>
      </c>
      <c r="J6">
        <v>10</v>
      </c>
      <c r="K6">
        <v>3</v>
      </c>
      <c r="L6">
        <v>2</v>
      </c>
      <c r="M6">
        <v>2</v>
      </c>
      <c r="N6">
        <v>2</v>
      </c>
      <c r="O6">
        <v>2</v>
      </c>
      <c r="P6">
        <v>2</v>
      </c>
      <c r="W6" t="s">
        <v>55</v>
      </c>
      <c r="X6" t="s">
        <v>56</v>
      </c>
    </row>
    <row r="7" spans="1:24" x14ac:dyDescent="0.3">
      <c r="A7">
        <v>10005</v>
      </c>
      <c r="B7" t="s">
        <v>57</v>
      </c>
      <c r="C7" t="s">
        <v>58</v>
      </c>
      <c r="D7" t="s">
        <v>159</v>
      </c>
      <c r="E7" t="s">
        <v>160</v>
      </c>
      <c r="F7">
        <v>1</v>
      </c>
      <c r="G7">
        <v>10</v>
      </c>
      <c r="H7">
        <v>16</v>
      </c>
      <c r="I7">
        <v>18</v>
      </c>
      <c r="J7">
        <v>8</v>
      </c>
      <c r="K7">
        <v>3</v>
      </c>
      <c r="L7">
        <v>2</v>
      </c>
      <c r="M7">
        <v>2</v>
      </c>
      <c r="N7">
        <v>2</v>
      </c>
      <c r="O7">
        <v>2</v>
      </c>
      <c r="P7">
        <v>2</v>
      </c>
      <c r="W7" t="s">
        <v>59</v>
      </c>
      <c r="X7" t="s">
        <v>60</v>
      </c>
    </row>
    <row r="8" spans="1:24" x14ac:dyDescent="0.3">
      <c r="A8">
        <v>10006</v>
      </c>
      <c r="B8" t="s">
        <v>61</v>
      </c>
      <c r="C8" t="s">
        <v>62</v>
      </c>
      <c r="D8" t="s">
        <v>161</v>
      </c>
      <c r="E8" t="s">
        <v>162</v>
      </c>
      <c r="F8">
        <v>1</v>
      </c>
      <c r="G8">
        <v>16</v>
      </c>
      <c r="H8">
        <v>10</v>
      </c>
      <c r="I8">
        <v>8</v>
      </c>
      <c r="J8">
        <v>18</v>
      </c>
      <c r="K8">
        <v>3</v>
      </c>
      <c r="L8">
        <v>2</v>
      </c>
      <c r="M8">
        <v>2</v>
      </c>
      <c r="N8">
        <v>2</v>
      </c>
      <c r="O8">
        <v>2</v>
      </c>
      <c r="P8">
        <v>2</v>
      </c>
      <c r="W8" t="s">
        <v>63</v>
      </c>
      <c r="X8" t="s">
        <v>64</v>
      </c>
    </row>
    <row r="9" spans="1:24" x14ac:dyDescent="0.3">
      <c r="A9">
        <v>10007</v>
      </c>
      <c r="B9" t="s">
        <v>65</v>
      </c>
      <c r="C9" t="s">
        <v>66</v>
      </c>
      <c r="D9" t="s">
        <v>163</v>
      </c>
      <c r="E9" t="s">
        <v>164</v>
      </c>
      <c r="F9">
        <v>2</v>
      </c>
      <c r="G9">
        <v>16</v>
      </c>
      <c r="H9">
        <v>16</v>
      </c>
      <c r="I9">
        <v>16</v>
      </c>
      <c r="J9">
        <v>16</v>
      </c>
      <c r="K9">
        <v>6</v>
      </c>
      <c r="L9">
        <v>2</v>
      </c>
      <c r="M9">
        <v>2</v>
      </c>
      <c r="N9">
        <v>2</v>
      </c>
      <c r="O9">
        <v>2</v>
      </c>
      <c r="P9">
        <v>2</v>
      </c>
      <c r="Q9" t="s">
        <v>165</v>
      </c>
      <c r="R9" t="s">
        <v>166</v>
      </c>
      <c r="S9" t="s">
        <v>167</v>
      </c>
      <c r="T9" t="s">
        <v>168</v>
      </c>
      <c r="U9" t="s">
        <v>169</v>
      </c>
      <c r="V9" t="s">
        <v>170</v>
      </c>
      <c r="W9" t="s">
        <v>67</v>
      </c>
      <c r="X9" t="s">
        <v>68</v>
      </c>
    </row>
    <row r="10" spans="1:24" x14ac:dyDescent="0.3">
      <c r="A10">
        <v>10008</v>
      </c>
      <c r="B10" t="s">
        <v>69</v>
      </c>
      <c r="C10" t="s">
        <v>70</v>
      </c>
      <c r="D10" t="s">
        <v>171</v>
      </c>
      <c r="E10" t="s">
        <v>172</v>
      </c>
      <c r="F10">
        <v>2</v>
      </c>
      <c r="G10">
        <v>20</v>
      </c>
      <c r="H10">
        <v>12</v>
      </c>
      <c r="I10">
        <v>14</v>
      </c>
      <c r="J10">
        <v>18</v>
      </c>
      <c r="K10">
        <v>6</v>
      </c>
      <c r="L10">
        <v>2</v>
      </c>
      <c r="M10">
        <v>2</v>
      </c>
      <c r="N10">
        <v>2</v>
      </c>
      <c r="O10">
        <v>2</v>
      </c>
      <c r="P10">
        <v>2</v>
      </c>
      <c r="Q10" t="s">
        <v>165</v>
      </c>
      <c r="R10" t="s">
        <v>166</v>
      </c>
      <c r="S10" t="s">
        <v>167</v>
      </c>
      <c r="T10" t="s">
        <v>168</v>
      </c>
      <c r="U10" t="s">
        <v>169</v>
      </c>
      <c r="V10" t="s">
        <v>170</v>
      </c>
      <c r="W10" t="s">
        <v>71</v>
      </c>
      <c r="X10" t="s">
        <v>72</v>
      </c>
    </row>
    <row r="11" spans="1:24" x14ac:dyDescent="0.3">
      <c r="A11">
        <v>10009</v>
      </c>
      <c r="B11" t="s">
        <v>73</v>
      </c>
      <c r="C11" t="s">
        <v>74</v>
      </c>
      <c r="D11" t="s">
        <v>173</v>
      </c>
      <c r="E11" t="s">
        <v>174</v>
      </c>
      <c r="F11">
        <v>2</v>
      </c>
      <c r="G11">
        <v>12</v>
      </c>
      <c r="H11">
        <v>20</v>
      </c>
      <c r="I11">
        <v>18</v>
      </c>
      <c r="J11">
        <v>14</v>
      </c>
      <c r="K11">
        <v>6</v>
      </c>
      <c r="L11">
        <v>2</v>
      </c>
      <c r="M11">
        <v>2</v>
      </c>
      <c r="N11">
        <v>2</v>
      </c>
      <c r="O11">
        <v>2</v>
      </c>
      <c r="P11">
        <v>2</v>
      </c>
      <c r="Q11" t="s">
        <v>165</v>
      </c>
      <c r="R11" t="s">
        <v>166</v>
      </c>
      <c r="S11" t="s">
        <v>167</v>
      </c>
      <c r="T11" t="s">
        <v>168</v>
      </c>
      <c r="U11" t="s">
        <v>169</v>
      </c>
      <c r="V11" t="s">
        <v>170</v>
      </c>
      <c r="W11" t="s">
        <v>75</v>
      </c>
      <c r="X11" t="s">
        <v>76</v>
      </c>
    </row>
    <row r="12" spans="1:24" x14ac:dyDescent="0.3">
      <c r="A12">
        <v>10010</v>
      </c>
      <c r="B12" t="s">
        <v>77</v>
      </c>
      <c r="C12" t="s">
        <v>78</v>
      </c>
      <c r="D12" t="s">
        <v>175</v>
      </c>
      <c r="E12" t="s">
        <v>176</v>
      </c>
      <c r="F12">
        <v>2</v>
      </c>
      <c r="G12">
        <v>14</v>
      </c>
      <c r="H12">
        <v>18</v>
      </c>
      <c r="I12">
        <v>20</v>
      </c>
      <c r="J12">
        <v>12</v>
      </c>
      <c r="K12">
        <v>6</v>
      </c>
      <c r="L12">
        <v>2</v>
      </c>
      <c r="M12">
        <v>2</v>
      </c>
      <c r="N12">
        <v>2</v>
      </c>
      <c r="O12">
        <v>2</v>
      </c>
      <c r="P12">
        <v>2</v>
      </c>
      <c r="Q12" t="s">
        <v>165</v>
      </c>
      <c r="R12" t="s">
        <v>166</v>
      </c>
      <c r="S12" t="s">
        <v>167</v>
      </c>
      <c r="T12" t="s">
        <v>168</v>
      </c>
      <c r="U12" t="s">
        <v>169</v>
      </c>
      <c r="V12" t="s">
        <v>170</v>
      </c>
      <c r="W12" t="s">
        <v>79</v>
      </c>
      <c r="X12" t="s">
        <v>80</v>
      </c>
    </row>
    <row r="13" spans="1:24" x14ac:dyDescent="0.3">
      <c r="A13">
        <v>10011</v>
      </c>
      <c r="B13" t="s">
        <v>81</v>
      </c>
      <c r="C13" t="s">
        <v>82</v>
      </c>
      <c r="D13" t="s">
        <v>177</v>
      </c>
      <c r="E13" t="s">
        <v>178</v>
      </c>
      <c r="F13">
        <v>2</v>
      </c>
      <c r="G13">
        <v>18</v>
      </c>
      <c r="H13">
        <v>14</v>
      </c>
      <c r="I13">
        <v>12</v>
      </c>
      <c r="J13">
        <v>20</v>
      </c>
      <c r="K13">
        <v>6</v>
      </c>
      <c r="L13">
        <v>2</v>
      </c>
      <c r="M13">
        <v>2</v>
      </c>
      <c r="N13">
        <v>2</v>
      </c>
      <c r="O13">
        <v>2</v>
      </c>
      <c r="P13">
        <v>2</v>
      </c>
      <c r="Q13" t="s">
        <v>165</v>
      </c>
      <c r="R13" t="s">
        <v>166</v>
      </c>
      <c r="S13" t="s">
        <v>167</v>
      </c>
      <c r="T13" t="s">
        <v>168</v>
      </c>
      <c r="U13" t="s">
        <v>169</v>
      </c>
      <c r="V13" t="s">
        <v>170</v>
      </c>
      <c r="W13" t="s">
        <v>83</v>
      </c>
      <c r="X13" t="s">
        <v>84</v>
      </c>
    </row>
    <row r="14" spans="1:24" x14ac:dyDescent="0.3">
      <c r="A14">
        <v>10012</v>
      </c>
      <c r="B14" t="s">
        <v>85</v>
      </c>
      <c r="C14" t="s">
        <v>86</v>
      </c>
      <c r="D14" t="s">
        <v>179</v>
      </c>
      <c r="E14" t="s">
        <v>180</v>
      </c>
      <c r="F14">
        <v>3</v>
      </c>
      <c r="G14">
        <v>19</v>
      </c>
      <c r="H14">
        <v>19</v>
      </c>
      <c r="I14">
        <v>19</v>
      </c>
      <c r="J14">
        <v>19</v>
      </c>
      <c r="K14">
        <v>9</v>
      </c>
      <c r="L14">
        <v>2</v>
      </c>
      <c r="M14">
        <v>2</v>
      </c>
      <c r="N14">
        <v>2</v>
      </c>
      <c r="O14">
        <v>2</v>
      </c>
      <c r="P14">
        <v>2</v>
      </c>
      <c r="Q14" t="s">
        <v>87</v>
      </c>
      <c r="R14" t="s">
        <v>88</v>
      </c>
      <c r="S14" t="s">
        <v>89</v>
      </c>
      <c r="T14" t="s">
        <v>90</v>
      </c>
      <c r="U14" t="s">
        <v>91</v>
      </c>
      <c r="V14" t="s">
        <v>92</v>
      </c>
      <c r="W14" t="s">
        <v>93</v>
      </c>
      <c r="X14" t="s">
        <v>94</v>
      </c>
    </row>
    <row r="15" spans="1:24" x14ac:dyDescent="0.3">
      <c r="A15">
        <v>10013</v>
      </c>
      <c r="B15" t="s">
        <v>95</v>
      </c>
      <c r="C15" t="s">
        <v>96</v>
      </c>
      <c r="D15" t="s">
        <v>181</v>
      </c>
      <c r="E15" t="s">
        <v>182</v>
      </c>
      <c r="F15">
        <v>3</v>
      </c>
      <c r="G15">
        <v>22</v>
      </c>
      <c r="H15">
        <v>16</v>
      </c>
      <c r="I15">
        <v>18</v>
      </c>
      <c r="J15">
        <v>20</v>
      </c>
      <c r="K15">
        <v>9</v>
      </c>
      <c r="L15">
        <v>2</v>
      </c>
      <c r="M15">
        <v>2</v>
      </c>
      <c r="N15">
        <v>2</v>
      </c>
      <c r="O15">
        <v>2</v>
      </c>
      <c r="P15">
        <v>2</v>
      </c>
      <c r="Q15" t="s">
        <v>87</v>
      </c>
      <c r="R15" t="s">
        <v>88</v>
      </c>
      <c r="S15" t="s">
        <v>89</v>
      </c>
      <c r="T15" t="s">
        <v>90</v>
      </c>
      <c r="U15" t="s">
        <v>91</v>
      </c>
      <c r="V15" t="s">
        <v>92</v>
      </c>
      <c r="W15" t="s">
        <v>97</v>
      </c>
      <c r="X15" t="s">
        <v>98</v>
      </c>
    </row>
    <row r="16" spans="1:24" x14ac:dyDescent="0.3">
      <c r="A16">
        <v>10014</v>
      </c>
      <c r="B16" t="s">
        <v>99</v>
      </c>
      <c r="C16" t="s">
        <v>100</v>
      </c>
      <c r="D16" t="s">
        <v>183</v>
      </c>
      <c r="E16" t="s">
        <v>184</v>
      </c>
      <c r="F16">
        <v>3</v>
      </c>
      <c r="G16">
        <v>16</v>
      </c>
      <c r="H16">
        <v>22</v>
      </c>
      <c r="I16">
        <v>20</v>
      </c>
      <c r="J16">
        <v>18</v>
      </c>
      <c r="K16">
        <v>9</v>
      </c>
      <c r="L16">
        <v>2</v>
      </c>
      <c r="M16">
        <v>2</v>
      </c>
      <c r="N16">
        <v>2</v>
      </c>
      <c r="O16">
        <v>2</v>
      </c>
      <c r="P16">
        <v>2</v>
      </c>
      <c r="Q16" t="s">
        <v>87</v>
      </c>
      <c r="R16" t="s">
        <v>88</v>
      </c>
      <c r="S16" t="s">
        <v>89</v>
      </c>
      <c r="T16" t="s">
        <v>90</v>
      </c>
      <c r="U16" t="s">
        <v>91</v>
      </c>
      <c r="V16" t="s">
        <v>92</v>
      </c>
      <c r="W16" t="s">
        <v>101</v>
      </c>
      <c r="X16" t="s">
        <v>102</v>
      </c>
    </row>
    <row r="17" spans="1:24" x14ac:dyDescent="0.3">
      <c r="A17">
        <v>10015</v>
      </c>
      <c r="B17" t="s">
        <v>103</v>
      </c>
      <c r="C17" t="s">
        <v>104</v>
      </c>
      <c r="D17" t="s">
        <v>185</v>
      </c>
      <c r="E17" t="s">
        <v>186</v>
      </c>
      <c r="F17">
        <v>3</v>
      </c>
      <c r="G17">
        <v>18</v>
      </c>
      <c r="H17">
        <v>20</v>
      </c>
      <c r="I17">
        <v>22</v>
      </c>
      <c r="J17">
        <v>16</v>
      </c>
      <c r="K17">
        <v>9</v>
      </c>
      <c r="L17">
        <v>2</v>
      </c>
      <c r="M17">
        <v>2</v>
      </c>
      <c r="N17">
        <v>2</v>
      </c>
      <c r="O17">
        <v>2</v>
      </c>
      <c r="P17">
        <v>2</v>
      </c>
      <c r="Q17" t="s">
        <v>87</v>
      </c>
      <c r="R17" t="s">
        <v>88</v>
      </c>
      <c r="S17" t="s">
        <v>89</v>
      </c>
      <c r="T17" t="s">
        <v>90</v>
      </c>
      <c r="U17" t="s">
        <v>91</v>
      </c>
      <c r="V17" t="s">
        <v>92</v>
      </c>
      <c r="W17" t="s">
        <v>105</v>
      </c>
      <c r="X17" t="s">
        <v>106</v>
      </c>
    </row>
    <row r="18" spans="1:24" x14ac:dyDescent="0.3">
      <c r="A18">
        <v>10016</v>
      </c>
      <c r="B18" t="s">
        <v>107</v>
      </c>
      <c r="C18" t="s">
        <v>108</v>
      </c>
      <c r="D18" t="s">
        <v>187</v>
      </c>
      <c r="E18" t="s">
        <v>188</v>
      </c>
      <c r="F18">
        <v>3</v>
      </c>
      <c r="G18">
        <v>20</v>
      </c>
      <c r="H18">
        <v>18</v>
      </c>
      <c r="I18">
        <v>16</v>
      </c>
      <c r="J18">
        <v>22</v>
      </c>
      <c r="K18">
        <v>9</v>
      </c>
      <c r="L18">
        <v>2</v>
      </c>
      <c r="M18">
        <v>2</v>
      </c>
      <c r="N18">
        <v>2</v>
      </c>
      <c r="O18">
        <v>2</v>
      </c>
      <c r="P18">
        <v>2</v>
      </c>
      <c r="Q18" t="s">
        <v>87</v>
      </c>
      <c r="R18" t="s">
        <v>88</v>
      </c>
      <c r="S18" t="s">
        <v>89</v>
      </c>
      <c r="T18" t="s">
        <v>90</v>
      </c>
      <c r="U18" t="s">
        <v>91</v>
      </c>
      <c r="V18" t="s">
        <v>92</v>
      </c>
      <c r="W18" t="s">
        <v>109</v>
      </c>
      <c r="X18" t="s">
        <v>110</v>
      </c>
    </row>
    <row r="19" spans="1:24" x14ac:dyDescent="0.3">
      <c r="A19">
        <v>10017</v>
      </c>
      <c r="B19" t="s">
        <v>111</v>
      </c>
      <c r="C19" t="s">
        <v>112</v>
      </c>
      <c r="D19" t="s">
        <v>189</v>
      </c>
      <c r="E19" t="s">
        <v>190</v>
      </c>
      <c r="F19">
        <v>4</v>
      </c>
      <c r="G19">
        <v>22</v>
      </c>
      <c r="H19">
        <v>22</v>
      </c>
      <c r="I19">
        <v>22</v>
      </c>
      <c r="J19">
        <v>22</v>
      </c>
      <c r="K19">
        <v>12</v>
      </c>
      <c r="L19">
        <v>2</v>
      </c>
      <c r="M19">
        <v>2</v>
      </c>
      <c r="N19">
        <v>2</v>
      </c>
      <c r="O19">
        <v>2</v>
      </c>
      <c r="P19">
        <v>2</v>
      </c>
      <c r="Q19" t="s">
        <v>113</v>
      </c>
      <c r="R19" t="s">
        <v>114</v>
      </c>
      <c r="S19" t="s">
        <v>115</v>
      </c>
      <c r="T19" t="s">
        <v>116</v>
      </c>
      <c r="U19" t="s">
        <v>117</v>
      </c>
      <c r="V19" t="s">
        <v>118</v>
      </c>
      <c r="W19" t="s">
        <v>119</v>
      </c>
      <c r="X19" t="s">
        <v>120</v>
      </c>
    </row>
    <row r="20" spans="1:24" x14ac:dyDescent="0.3">
      <c r="A20">
        <v>10018</v>
      </c>
      <c r="B20" t="s">
        <v>121</v>
      </c>
      <c r="C20" t="s">
        <v>122</v>
      </c>
      <c r="D20" t="s">
        <v>191</v>
      </c>
      <c r="E20" t="s">
        <v>192</v>
      </c>
      <c r="F20">
        <v>4</v>
      </c>
      <c r="G20">
        <v>25</v>
      </c>
      <c r="H20">
        <v>19</v>
      </c>
      <c r="I20">
        <v>21</v>
      </c>
      <c r="J20">
        <v>23</v>
      </c>
      <c r="K20">
        <v>12</v>
      </c>
      <c r="L20">
        <v>2</v>
      </c>
      <c r="M20">
        <v>2</v>
      </c>
      <c r="N20">
        <v>2</v>
      </c>
      <c r="O20">
        <v>2</v>
      </c>
      <c r="P20">
        <v>2</v>
      </c>
      <c r="Q20" t="s">
        <v>113</v>
      </c>
      <c r="R20" t="s">
        <v>114</v>
      </c>
      <c r="S20" t="s">
        <v>115</v>
      </c>
      <c r="T20" t="s">
        <v>116</v>
      </c>
      <c r="U20" t="s">
        <v>117</v>
      </c>
      <c r="V20" t="s">
        <v>118</v>
      </c>
      <c r="W20" t="s">
        <v>123</v>
      </c>
      <c r="X20" t="s">
        <v>124</v>
      </c>
    </row>
    <row r="21" spans="1:24" x14ac:dyDescent="0.3">
      <c r="A21">
        <v>10019</v>
      </c>
      <c r="B21" t="s">
        <v>125</v>
      </c>
      <c r="C21" t="s">
        <v>126</v>
      </c>
      <c r="D21" t="s">
        <v>193</v>
      </c>
      <c r="E21" t="s">
        <v>194</v>
      </c>
      <c r="F21">
        <v>4</v>
      </c>
      <c r="G21">
        <v>19</v>
      </c>
      <c r="H21">
        <v>25</v>
      </c>
      <c r="I21">
        <v>23</v>
      </c>
      <c r="J21">
        <v>21</v>
      </c>
      <c r="K21">
        <v>12</v>
      </c>
      <c r="L21">
        <v>2</v>
      </c>
      <c r="M21">
        <v>2</v>
      </c>
      <c r="N21">
        <v>2</v>
      </c>
      <c r="O21">
        <v>2</v>
      </c>
      <c r="P21">
        <v>2</v>
      </c>
      <c r="Q21" t="s">
        <v>113</v>
      </c>
      <c r="R21" t="s">
        <v>114</v>
      </c>
      <c r="S21" t="s">
        <v>115</v>
      </c>
      <c r="T21" t="s">
        <v>116</v>
      </c>
      <c r="U21" t="s">
        <v>117</v>
      </c>
      <c r="V21" t="s">
        <v>118</v>
      </c>
      <c r="W21" t="s">
        <v>127</v>
      </c>
      <c r="X21" t="s">
        <v>128</v>
      </c>
    </row>
    <row r="22" spans="1:24" x14ac:dyDescent="0.3">
      <c r="A22">
        <v>10020</v>
      </c>
      <c r="B22" t="s">
        <v>129</v>
      </c>
      <c r="C22" t="s">
        <v>130</v>
      </c>
      <c r="D22" t="s">
        <v>195</v>
      </c>
      <c r="E22" t="s">
        <v>196</v>
      </c>
      <c r="F22">
        <v>4</v>
      </c>
      <c r="G22">
        <v>21</v>
      </c>
      <c r="H22">
        <v>23</v>
      </c>
      <c r="I22">
        <v>25</v>
      </c>
      <c r="J22">
        <v>19</v>
      </c>
      <c r="K22">
        <v>12</v>
      </c>
      <c r="L22">
        <v>2</v>
      </c>
      <c r="M22">
        <v>2</v>
      </c>
      <c r="N22">
        <v>2</v>
      </c>
      <c r="O22">
        <v>2</v>
      </c>
      <c r="P22">
        <v>2</v>
      </c>
      <c r="Q22" t="s">
        <v>113</v>
      </c>
      <c r="R22" t="s">
        <v>114</v>
      </c>
      <c r="S22" t="s">
        <v>115</v>
      </c>
      <c r="T22" t="s">
        <v>116</v>
      </c>
      <c r="U22" t="s">
        <v>117</v>
      </c>
      <c r="V22" t="s">
        <v>118</v>
      </c>
      <c r="W22" t="s">
        <v>131</v>
      </c>
      <c r="X22" t="s">
        <v>132</v>
      </c>
    </row>
    <row r="23" spans="1:24" x14ac:dyDescent="0.3">
      <c r="A23">
        <v>10021</v>
      </c>
      <c r="B23" t="s">
        <v>133</v>
      </c>
      <c r="C23" t="s">
        <v>134</v>
      </c>
      <c r="D23" t="s">
        <v>197</v>
      </c>
      <c r="E23" t="s">
        <v>198</v>
      </c>
      <c r="F23">
        <v>4</v>
      </c>
      <c r="G23">
        <v>23</v>
      </c>
      <c r="H23">
        <v>21</v>
      </c>
      <c r="I23">
        <v>19</v>
      </c>
      <c r="J23">
        <v>25</v>
      </c>
      <c r="K23">
        <v>12</v>
      </c>
      <c r="L23">
        <v>2</v>
      </c>
      <c r="M23">
        <v>2</v>
      </c>
      <c r="N23">
        <v>2</v>
      </c>
      <c r="O23">
        <v>2</v>
      </c>
      <c r="P23">
        <v>2</v>
      </c>
      <c r="Q23" t="s">
        <v>113</v>
      </c>
      <c r="R23" t="s">
        <v>114</v>
      </c>
      <c r="S23" t="s">
        <v>115</v>
      </c>
      <c r="T23" t="s">
        <v>116</v>
      </c>
      <c r="U23" t="s">
        <v>117</v>
      </c>
      <c r="V23" t="s">
        <v>118</v>
      </c>
      <c r="W23" t="s">
        <v>135</v>
      </c>
      <c r="X23" t="s">
        <v>136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topLeftCell="B1" workbookViewId="0">
      <selection activeCell="B32" sqref="B32"/>
    </sheetView>
  </sheetViews>
  <sheetFormatPr defaultRowHeight="16.5" x14ac:dyDescent="0.3"/>
  <cols>
    <col min="2" max="2" width="12.875" customWidth="1"/>
  </cols>
  <sheetData>
    <row r="1" spans="1:30" x14ac:dyDescent="0.3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420</v>
      </c>
      <c r="H1" t="s">
        <v>421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422</v>
      </c>
      <c r="P1" t="s">
        <v>423</v>
      </c>
      <c r="Q1" t="s">
        <v>144</v>
      </c>
      <c r="R1" t="s">
        <v>32</v>
      </c>
      <c r="S1" t="s">
        <v>33</v>
      </c>
      <c r="T1" t="s">
        <v>34</v>
      </c>
      <c r="U1" t="s">
        <v>35</v>
      </c>
      <c r="V1" t="s">
        <v>424</v>
      </c>
      <c r="W1" t="s">
        <v>425</v>
      </c>
      <c r="X1" t="s">
        <v>426</v>
      </c>
      <c r="Y1" t="s">
        <v>413</v>
      </c>
      <c r="Z1" t="s">
        <v>427</v>
      </c>
      <c r="AA1" t="s">
        <v>145</v>
      </c>
      <c r="AB1" t="s">
        <v>428</v>
      </c>
      <c r="AC1" t="s">
        <v>200</v>
      </c>
      <c r="AD1" t="s">
        <v>201</v>
      </c>
    </row>
    <row r="2" spans="1:30" x14ac:dyDescent="0.3">
      <c r="A2">
        <v>30000</v>
      </c>
      <c r="B2" t="s">
        <v>429</v>
      </c>
      <c r="C2" t="s">
        <v>430</v>
      </c>
      <c r="D2" t="s">
        <v>431</v>
      </c>
      <c r="E2" t="s">
        <v>432</v>
      </c>
      <c r="F2">
        <v>0</v>
      </c>
      <c r="G2" t="s">
        <v>202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203</v>
      </c>
      <c r="P2">
        <v>20</v>
      </c>
      <c r="Q2" t="s">
        <v>42</v>
      </c>
      <c r="T2" t="s">
        <v>42</v>
      </c>
      <c r="U2" t="s">
        <v>42</v>
      </c>
      <c r="V2" t="b">
        <v>1</v>
      </c>
      <c r="W2">
        <v>200</v>
      </c>
      <c r="X2">
        <v>0</v>
      </c>
      <c r="Y2" t="s">
        <v>42</v>
      </c>
      <c r="Z2">
        <v>0</v>
      </c>
      <c r="AA2" t="s">
        <v>433</v>
      </c>
      <c r="AB2" t="s">
        <v>42</v>
      </c>
      <c r="AC2" t="s">
        <v>42</v>
      </c>
      <c r="AD2" t="s">
        <v>42</v>
      </c>
    </row>
    <row r="3" spans="1:30" x14ac:dyDescent="0.3">
      <c r="A3">
        <v>30001</v>
      </c>
      <c r="B3" t="s">
        <v>434</v>
      </c>
      <c r="C3" t="s">
        <v>204</v>
      </c>
      <c r="D3" t="s">
        <v>435</v>
      </c>
      <c r="E3" t="s">
        <v>436</v>
      </c>
      <c r="F3">
        <v>0</v>
      </c>
      <c r="G3" t="s">
        <v>202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203</v>
      </c>
      <c r="P3">
        <v>60</v>
      </c>
      <c r="Q3" t="s">
        <v>42</v>
      </c>
      <c r="T3" t="s">
        <v>42</v>
      </c>
      <c r="U3" t="s">
        <v>42</v>
      </c>
      <c r="V3" t="b">
        <v>1</v>
      </c>
      <c r="W3">
        <v>600</v>
      </c>
      <c r="X3">
        <v>0</v>
      </c>
      <c r="Y3" t="s">
        <v>42</v>
      </c>
      <c r="Z3">
        <v>0</v>
      </c>
      <c r="AA3" t="s">
        <v>205</v>
      </c>
      <c r="AB3" t="s">
        <v>42</v>
      </c>
      <c r="AC3" t="s">
        <v>42</v>
      </c>
      <c r="AD3" t="s">
        <v>42</v>
      </c>
    </row>
    <row r="4" spans="1:30" x14ac:dyDescent="0.3">
      <c r="A4">
        <v>30002</v>
      </c>
      <c r="B4" t="s">
        <v>437</v>
      </c>
      <c r="C4" t="s">
        <v>206</v>
      </c>
      <c r="D4" t="s">
        <v>438</v>
      </c>
      <c r="E4" t="s">
        <v>439</v>
      </c>
      <c r="F4">
        <v>0</v>
      </c>
      <c r="G4" t="s">
        <v>202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203</v>
      </c>
      <c r="P4">
        <v>100</v>
      </c>
      <c r="Q4" t="s">
        <v>42</v>
      </c>
      <c r="T4" t="s">
        <v>42</v>
      </c>
      <c r="U4" t="s">
        <v>42</v>
      </c>
      <c r="V4" t="b">
        <v>1</v>
      </c>
      <c r="W4">
        <v>1000</v>
      </c>
      <c r="X4">
        <v>0</v>
      </c>
      <c r="Y4" t="s">
        <v>42</v>
      </c>
      <c r="Z4">
        <v>0</v>
      </c>
      <c r="AA4" t="s">
        <v>207</v>
      </c>
      <c r="AB4" t="s">
        <v>42</v>
      </c>
      <c r="AC4" t="s">
        <v>42</v>
      </c>
      <c r="AD4" t="s">
        <v>42</v>
      </c>
    </row>
    <row r="5" spans="1:30" x14ac:dyDescent="0.3">
      <c r="A5">
        <v>30003</v>
      </c>
      <c r="B5" t="s">
        <v>440</v>
      </c>
      <c r="C5" t="s">
        <v>208</v>
      </c>
      <c r="D5" t="s">
        <v>441</v>
      </c>
      <c r="E5" t="s">
        <v>442</v>
      </c>
      <c r="F5">
        <v>0</v>
      </c>
      <c r="G5" t="s">
        <v>202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203</v>
      </c>
      <c r="P5">
        <v>150</v>
      </c>
      <c r="Q5" t="s">
        <v>42</v>
      </c>
      <c r="T5" t="s">
        <v>42</v>
      </c>
      <c r="U5" t="s">
        <v>42</v>
      </c>
      <c r="V5" t="b">
        <v>1</v>
      </c>
      <c r="W5">
        <v>1500</v>
      </c>
      <c r="X5">
        <v>0</v>
      </c>
      <c r="Y5" t="s">
        <v>42</v>
      </c>
      <c r="Z5">
        <v>0</v>
      </c>
      <c r="AA5" t="s">
        <v>209</v>
      </c>
      <c r="AB5" t="s">
        <v>42</v>
      </c>
      <c r="AC5" t="s">
        <v>42</v>
      </c>
      <c r="AD5" t="s">
        <v>42</v>
      </c>
    </row>
    <row r="6" spans="1:30" x14ac:dyDescent="0.3">
      <c r="A6">
        <v>30004</v>
      </c>
      <c r="B6" t="s">
        <v>443</v>
      </c>
      <c r="C6" t="s">
        <v>210</v>
      </c>
      <c r="D6" t="s">
        <v>444</v>
      </c>
      <c r="E6" t="s">
        <v>445</v>
      </c>
      <c r="F6">
        <v>0</v>
      </c>
      <c r="G6" t="s">
        <v>202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203</v>
      </c>
      <c r="P6">
        <v>200</v>
      </c>
      <c r="Q6" t="s">
        <v>42</v>
      </c>
      <c r="T6" t="s">
        <v>42</v>
      </c>
      <c r="U6" t="s">
        <v>42</v>
      </c>
      <c r="V6" t="b">
        <v>1</v>
      </c>
      <c r="W6">
        <v>2000</v>
      </c>
      <c r="X6">
        <v>0</v>
      </c>
      <c r="Y6" t="s">
        <v>42</v>
      </c>
      <c r="Z6">
        <v>0</v>
      </c>
      <c r="AA6" t="s">
        <v>211</v>
      </c>
      <c r="AB6" t="s">
        <v>42</v>
      </c>
      <c r="AC6" t="s">
        <v>42</v>
      </c>
      <c r="AD6" t="s">
        <v>42</v>
      </c>
    </row>
    <row r="7" spans="1:30" x14ac:dyDescent="0.3">
      <c r="A7">
        <v>31000</v>
      </c>
      <c r="B7" t="s">
        <v>212</v>
      </c>
      <c r="C7" t="s">
        <v>446</v>
      </c>
      <c r="D7" t="s">
        <v>447</v>
      </c>
      <c r="E7" t="s">
        <v>448</v>
      </c>
      <c r="F7">
        <v>1</v>
      </c>
      <c r="G7" t="s">
        <v>213</v>
      </c>
      <c r="H7">
        <v>2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 t="s">
        <v>214</v>
      </c>
      <c r="P7">
        <v>0</v>
      </c>
      <c r="Q7" t="s">
        <v>42</v>
      </c>
      <c r="T7" t="s">
        <v>42</v>
      </c>
      <c r="U7" t="s">
        <v>42</v>
      </c>
      <c r="V7" t="b">
        <v>0</v>
      </c>
      <c r="W7">
        <v>10</v>
      </c>
      <c r="X7">
        <v>0</v>
      </c>
      <c r="Y7" t="s">
        <v>42</v>
      </c>
      <c r="Z7">
        <v>0</v>
      </c>
      <c r="AA7" t="s">
        <v>449</v>
      </c>
      <c r="AB7" t="s">
        <v>42</v>
      </c>
      <c r="AC7" t="s">
        <v>42</v>
      </c>
      <c r="AD7" t="s">
        <v>42</v>
      </c>
    </row>
    <row r="8" spans="1:30" x14ac:dyDescent="0.3">
      <c r="A8">
        <v>31001</v>
      </c>
      <c r="B8" t="s">
        <v>215</v>
      </c>
      <c r="C8" t="s">
        <v>216</v>
      </c>
      <c r="D8" t="s">
        <v>450</v>
      </c>
      <c r="E8" t="s">
        <v>451</v>
      </c>
      <c r="F8">
        <v>1</v>
      </c>
      <c r="G8" t="s">
        <v>213</v>
      </c>
      <c r="H8">
        <v>2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 t="s">
        <v>214</v>
      </c>
      <c r="P8">
        <v>0</v>
      </c>
      <c r="Q8" t="s">
        <v>42</v>
      </c>
      <c r="T8" t="s">
        <v>42</v>
      </c>
      <c r="U8" t="s">
        <v>42</v>
      </c>
      <c r="V8" t="b">
        <v>0</v>
      </c>
      <c r="W8">
        <v>5000</v>
      </c>
      <c r="X8">
        <v>0</v>
      </c>
      <c r="Y8" t="s">
        <v>42</v>
      </c>
      <c r="Z8">
        <v>0</v>
      </c>
      <c r="AA8" t="s">
        <v>452</v>
      </c>
      <c r="AB8" t="s">
        <v>42</v>
      </c>
      <c r="AC8" t="s">
        <v>42</v>
      </c>
      <c r="AD8" t="s">
        <v>42</v>
      </c>
    </row>
    <row r="9" spans="1:30" x14ac:dyDescent="0.3">
      <c r="A9">
        <v>31002</v>
      </c>
      <c r="B9" t="s">
        <v>217</v>
      </c>
      <c r="C9" t="s">
        <v>218</v>
      </c>
      <c r="D9" t="s">
        <v>453</v>
      </c>
      <c r="E9" t="s">
        <v>454</v>
      </c>
      <c r="F9">
        <v>1</v>
      </c>
      <c r="G9" t="s">
        <v>213</v>
      </c>
      <c r="H9">
        <v>2</v>
      </c>
      <c r="I9">
        <v>0</v>
      </c>
      <c r="J9">
        <v>0</v>
      </c>
      <c r="K9">
        <v>5</v>
      </c>
      <c r="L9">
        <v>0</v>
      </c>
      <c r="M9">
        <v>0</v>
      </c>
      <c r="N9">
        <v>0</v>
      </c>
      <c r="O9" t="s">
        <v>214</v>
      </c>
      <c r="P9">
        <v>0</v>
      </c>
      <c r="Q9" t="s">
        <v>42</v>
      </c>
      <c r="T9" t="s">
        <v>42</v>
      </c>
      <c r="U9" t="s">
        <v>42</v>
      </c>
      <c r="V9" t="b">
        <v>0</v>
      </c>
      <c r="W9">
        <v>7500</v>
      </c>
      <c r="X9">
        <v>0</v>
      </c>
      <c r="Y9" t="s">
        <v>42</v>
      </c>
      <c r="Z9">
        <v>0</v>
      </c>
      <c r="AA9" t="s">
        <v>219</v>
      </c>
      <c r="AB9" t="s">
        <v>42</v>
      </c>
      <c r="AC9" t="s">
        <v>42</v>
      </c>
      <c r="AD9" t="s">
        <v>42</v>
      </c>
    </row>
    <row r="10" spans="1:30" x14ac:dyDescent="0.3">
      <c r="A10">
        <v>31003</v>
      </c>
      <c r="B10" t="s">
        <v>220</v>
      </c>
      <c r="C10" t="s">
        <v>221</v>
      </c>
      <c r="D10" t="s">
        <v>455</v>
      </c>
      <c r="E10" t="s">
        <v>456</v>
      </c>
      <c r="F10">
        <v>1</v>
      </c>
      <c r="G10" t="s">
        <v>213</v>
      </c>
      <c r="H10">
        <v>2</v>
      </c>
      <c r="I10">
        <v>0</v>
      </c>
      <c r="J10">
        <v>0</v>
      </c>
      <c r="K10">
        <v>5</v>
      </c>
      <c r="L10">
        <v>0</v>
      </c>
      <c r="M10">
        <v>0</v>
      </c>
      <c r="N10">
        <v>0</v>
      </c>
      <c r="O10" t="s">
        <v>214</v>
      </c>
      <c r="P10">
        <v>0</v>
      </c>
      <c r="Q10" t="s">
        <v>457</v>
      </c>
      <c r="R10" t="s">
        <v>458</v>
      </c>
      <c r="S10" t="s">
        <v>459</v>
      </c>
      <c r="T10" t="s">
        <v>460</v>
      </c>
      <c r="U10" t="s">
        <v>461</v>
      </c>
      <c r="V10" t="b">
        <v>0</v>
      </c>
      <c r="W10">
        <v>10000</v>
      </c>
      <c r="X10">
        <v>0</v>
      </c>
      <c r="Y10" t="s">
        <v>42</v>
      </c>
      <c r="Z10">
        <v>0</v>
      </c>
      <c r="AA10" t="s">
        <v>222</v>
      </c>
      <c r="AB10" t="s">
        <v>42</v>
      </c>
      <c r="AC10" t="s">
        <v>42</v>
      </c>
      <c r="AD10" t="s">
        <v>42</v>
      </c>
    </row>
    <row r="11" spans="1:30" x14ac:dyDescent="0.3">
      <c r="A11">
        <v>31004</v>
      </c>
      <c r="B11" t="s">
        <v>223</v>
      </c>
      <c r="C11" t="s">
        <v>224</v>
      </c>
      <c r="D11" t="s">
        <v>462</v>
      </c>
      <c r="E11" t="s">
        <v>463</v>
      </c>
      <c r="F11">
        <v>1</v>
      </c>
      <c r="G11" t="s">
        <v>213</v>
      </c>
      <c r="H11">
        <v>2</v>
      </c>
      <c r="I11">
        <v>0</v>
      </c>
      <c r="J11">
        <v>0</v>
      </c>
      <c r="K11">
        <v>2</v>
      </c>
      <c r="L11">
        <v>0</v>
      </c>
      <c r="M11">
        <v>0</v>
      </c>
      <c r="N11">
        <v>20</v>
      </c>
      <c r="O11" t="s">
        <v>214</v>
      </c>
      <c r="P11">
        <v>0</v>
      </c>
      <c r="Q11" t="s">
        <v>42</v>
      </c>
      <c r="T11" t="s">
        <v>42</v>
      </c>
      <c r="U11" t="s">
        <v>42</v>
      </c>
      <c r="V11" t="b">
        <v>0</v>
      </c>
      <c r="W11">
        <v>5000</v>
      </c>
      <c r="X11">
        <v>0</v>
      </c>
      <c r="Y11" t="s">
        <v>42</v>
      </c>
      <c r="Z11">
        <v>0</v>
      </c>
      <c r="AA11" t="s">
        <v>464</v>
      </c>
      <c r="AB11" t="s">
        <v>42</v>
      </c>
      <c r="AC11" t="s">
        <v>42</v>
      </c>
      <c r="AD11" t="s">
        <v>42</v>
      </c>
    </row>
    <row r="12" spans="1:30" x14ac:dyDescent="0.3">
      <c r="A12">
        <v>31005</v>
      </c>
      <c r="B12" t="s">
        <v>225</v>
      </c>
      <c r="C12" t="s">
        <v>226</v>
      </c>
      <c r="D12" t="s">
        <v>465</v>
      </c>
      <c r="E12" t="s">
        <v>466</v>
      </c>
      <c r="F12">
        <v>1</v>
      </c>
      <c r="G12" t="s">
        <v>213</v>
      </c>
      <c r="H12">
        <v>2</v>
      </c>
      <c r="I12">
        <v>0</v>
      </c>
      <c r="J12">
        <v>0</v>
      </c>
      <c r="K12">
        <v>3</v>
      </c>
      <c r="L12">
        <v>0</v>
      </c>
      <c r="M12">
        <v>0</v>
      </c>
      <c r="N12">
        <v>30</v>
      </c>
      <c r="O12" t="s">
        <v>214</v>
      </c>
      <c r="P12">
        <v>0</v>
      </c>
      <c r="Q12" t="s">
        <v>42</v>
      </c>
      <c r="T12" t="s">
        <v>42</v>
      </c>
      <c r="U12" t="s">
        <v>42</v>
      </c>
      <c r="V12" t="b">
        <v>0</v>
      </c>
      <c r="W12">
        <v>7500</v>
      </c>
      <c r="X12">
        <v>0</v>
      </c>
      <c r="Y12" t="s">
        <v>42</v>
      </c>
      <c r="Z12">
        <v>0</v>
      </c>
      <c r="AA12" t="s">
        <v>227</v>
      </c>
      <c r="AB12" t="s">
        <v>42</v>
      </c>
      <c r="AC12" t="s">
        <v>42</v>
      </c>
      <c r="AD12" t="s">
        <v>42</v>
      </c>
    </row>
    <row r="13" spans="1:30" x14ac:dyDescent="0.3">
      <c r="A13">
        <v>31006</v>
      </c>
      <c r="B13" t="s">
        <v>228</v>
      </c>
      <c r="C13" t="s">
        <v>229</v>
      </c>
      <c r="D13" t="s">
        <v>467</v>
      </c>
      <c r="E13" t="s">
        <v>468</v>
      </c>
      <c r="F13">
        <v>1</v>
      </c>
      <c r="G13" t="s">
        <v>213</v>
      </c>
      <c r="H13">
        <v>2</v>
      </c>
      <c r="I13">
        <v>0</v>
      </c>
      <c r="J13">
        <v>0</v>
      </c>
      <c r="K13">
        <v>3</v>
      </c>
      <c r="L13">
        <v>0</v>
      </c>
      <c r="M13">
        <v>0</v>
      </c>
      <c r="N13">
        <v>30</v>
      </c>
      <c r="O13" t="s">
        <v>214</v>
      </c>
      <c r="P13">
        <v>0</v>
      </c>
      <c r="Q13" t="s">
        <v>457</v>
      </c>
      <c r="R13" t="s">
        <v>458</v>
      </c>
      <c r="S13" t="s">
        <v>459</v>
      </c>
      <c r="T13" t="s">
        <v>460</v>
      </c>
      <c r="U13" t="s">
        <v>461</v>
      </c>
      <c r="V13" t="b">
        <v>0</v>
      </c>
      <c r="W13">
        <v>10000</v>
      </c>
      <c r="X13">
        <v>0</v>
      </c>
      <c r="Y13" t="s">
        <v>42</v>
      </c>
      <c r="Z13">
        <v>0</v>
      </c>
      <c r="AA13" t="s">
        <v>230</v>
      </c>
      <c r="AB13" t="s">
        <v>42</v>
      </c>
      <c r="AC13" t="s">
        <v>42</v>
      </c>
      <c r="AD13" t="s">
        <v>42</v>
      </c>
    </row>
    <row r="14" spans="1:30" x14ac:dyDescent="0.3">
      <c r="A14">
        <v>31007</v>
      </c>
      <c r="B14" t="s">
        <v>231</v>
      </c>
      <c r="C14" t="s">
        <v>232</v>
      </c>
      <c r="D14" t="s">
        <v>469</v>
      </c>
      <c r="E14" t="s">
        <v>470</v>
      </c>
      <c r="F14">
        <v>2</v>
      </c>
      <c r="G14" t="s">
        <v>213</v>
      </c>
      <c r="H14">
        <v>2</v>
      </c>
      <c r="I14">
        <v>0</v>
      </c>
      <c r="J14">
        <v>0</v>
      </c>
      <c r="K14">
        <v>8</v>
      </c>
      <c r="L14">
        <v>0</v>
      </c>
      <c r="M14">
        <v>0</v>
      </c>
      <c r="N14">
        <v>0</v>
      </c>
      <c r="O14" t="s">
        <v>214</v>
      </c>
      <c r="P14">
        <v>0</v>
      </c>
      <c r="Q14" t="s">
        <v>42</v>
      </c>
      <c r="T14" t="s">
        <v>42</v>
      </c>
      <c r="U14" t="s">
        <v>42</v>
      </c>
      <c r="V14" t="b">
        <v>0</v>
      </c>
      <c r="W14">
        <v>25000</v>
      </c>
      <c r="X14">
        <v>0</v>
      </c>
      <c r="Y14" t="s">
        <v>42</v>
      </c>
      <c r="Z14">
        <v>0</v>
      </c>
      <c r="AA14" t="s">
        <v>222</v>
      </c>
      <c r="AB14" t="s">
        <v>42</v>
      </c>
      <c r="AC14" t="s">
        <v>42</v>
      </c>
      <c r="AD14" t="s">
        <v>42</v>
      </c>
    </row>
    <row r="15" spans="1:30" x14ac:dyDescent="0.3">
      <c r="A15">
        <v>31008</v>
      </c>
      <c r="B15" t="s">
        <v>233</v>
      </c>
      <c r="C15" t="s">
        <v>234</v>
      </c>
      <c r="D15" t="s">
        <v>471</v>
      </c>
      <c r="E15" t="s">
        <v>472</v>
      </c>
      <c r="F15">
        <v>2</v>
      </c>
      <c r="G15" t="s">
        <v>213</v>
      </c>
      <c r="H15">
        <v>2</v>
      </c>
      <c r="I15">
        <v>0</v>
      </c>
      <c r="J15">
        <v>0</v>
      </c>
      <c r="K15">
        <v>9</v>
      </c>
      <c r="L15">
        <v>0</v>
      </c>
      <c r="M15">
        <v>0</v>
      </c>
      <c r="N15">
        <v>0</v>
      </c>
      <c r="O15" t="s">
        <v>214</v>
      </c>
      <c r="P15">
        <v>0</v>
      </c>
      <c r="Q15" t="s">
        <v>42</v>
      </c>
      <c r="T15" t="s">
        <v>42</v>
      </c>
      <c r="U15" t="s">
        <v>42</v>
      </c>
      <c r="V15" t="b">
        <v>0</v>
      </c>
      <c r="W15">
        <v>37500</v>
      </c>
      <c r="X15">
        <v>0</v>
      </c>
      <c r="Y15" t="s">
        <v>42</v>
      </c>
      <c r="Z15">
        <v>0</v>
      </c>
      <c r="AA15" t="s">
        <v>235</v>
      </c>
      <c r="AB15" t="s">
        <v>42</v>
      </c>
      <c r="AC15" t="s">
        <v>42</v>
      </c>
      <c r="AD15" t="s">
        <v>42</v>
      </c>
    </row>
    <row r="16" spans="1:30" x14ac:dyDescent="0.3">
      <c r="A16">
        <v>31009</v>
      </c>
      <c r="B16" t="s">
        <v>236</v>
      </c>
      <c r="C16" t="s">
        <v>237</v>
      </c>
      <c r="D16" t="s">
        <v>473</v>
      </c>
      <c r="E16" t="s">
        <v>474</v>
      </c>
      <c r="F16">
        <v>2</v>
      </c>
      <c r="G16" t="s">
        <v>213</v>
      </c>
      <c r="H16">
        <v>2</v>
      </c>
      <c r="I16">
        <v>0</v>
      </c>
      <c r="J16">
        <v>0</v>
      </c>
      <c r="K16">
        <v>9</v>
      </c>
      <c r="L16">
        <v>0</v>
      </c>
      <c r="M16">
        <v>0</v>
      </c>
      <c r="N16">
        <v>0</v>
      </c>
      <c r="O16" t="s">
        <v>214</v>
      </c>
      <c r="P16">
        <v>0</v>
      </c>
      <c r="Q16" t="s">
        <v>457</v>
      </c>
      <c r="R16" t="s">
        <v>458</v>
      </c>
      <c r="S16" t="s">
        <v>459</v>
      </c>
      <c r="T16" t="s">
        <v>460</v>
      </c>
      <c r="U16" t="s">
        <v>461</v>
      </c>
      <c r="V16" t="b">
        <v>0</v>
      </c>
      <c r="W16">
        <v>50000</v>
      </c>
      <c r="X16">
        <v>0</v>
      </c>
      <c r="Y16" t="s">
        <v>42</v>
      </c>
      <c r="Z16">
        <v>0</v>
      </c>
      <c r="AA16" t="s">
        <v>235</v>
      </c>
      <c r="AB16" t="s">
        <v>42</v>
      </c>
      <c r="AC16" t="s">
        <v>42</v>
      </c>
      <c r="AD16" t="s">
        <v>42</v>
      </c>
    </row>
    <row r="17" spans="1:30" x14ac:dyDescent="0.3">
      <c r="A17">
        <v>31010</v>
      </c>
      <c r="B17" t="s">
        <v>238</v>
      </c>
      <c r="C17" t="s">
        <v>239</v>
      </c>
      <c r="D17" t="s">
        <v>475</v>
      </c>
      <c r="E17" t="s">
        <v>476</v>
      </c>
      <c r="F17">
        <v>2</v>
      </c>
      <c r="G17" t="s">
        <v>213</v>
      </c>
      <c r="H17">
        <v>2</v>
      </c>
      <c r="I17">
        <v>0</v>
      </c>
      <c r="J17">
        <v>0</v>
      </c>
      <c r="K17">
        <v>4</v>
      </c>
      <c r="L17">
        <v>0</v>
      </c>
      <c r="M17">
        <v>0</v>
      </c>
      <c r="N17">
        <v>40</v>
      </c>
      <c r="O17" t="s">
        <v>214</v>
      </c>
      <c r="P17">
        <v>0</v>
      </c>
      <c r="Q17" t="s">
        <v>42</v>
      </c>
      <c r="T17" t="s">
        <v>42</v>
      </c>
      <c r="U17" t="s">
        <v>42</v>
      </c>
      <c r="V17" t="b">
        <v>0</v>
      </c>
      <c r="W17">
        <v>25000</v>
      </c>
      <c r="X17">
        <v>0</v>
      </c>
      <c r="Y17" t="s">
        <v>42</v>
      </c>
      <c r="Z17">
        <v>0</v>
      </c>
      <c r="AA17" t="s">
        <v>477</v>
      </c>
      <c r="AB17" t="s">
        <v>42</v>
      </c>
      <c r="AC17" t="s">
        <v>42</v>
      </c>
      <c r="AD17" t="s">
        <v>42</v>
      </c>
    </row>
    <row r="18" spans="1:30" x14ac:dyDescent="0.3">
      <c r="A18">
        <v>31011</v>
      </c>
      <c r="B18" t="s">
        <v>240</v>
      </c>
      <c r="C18" t="s">
        <v>241</v>
      </c>
      <c r="D18" t="s">
        <v>478</v>
      </c>
      <c r="E18" t="s">
        <v>479</v>
      </c>
      <c r="F18">
        <v>2</v>
      </c>
      <c r="G18" t="s">
        <v>213</v>
      </c>
      <c r="H18">
        <v>2</v>
      </c>
      <c r="I18">
        <v>0</v>
      </c>
      <c r="J18">
        <v>0</v>
      </c>
      <c r="K18">
        <v>5</v>
      </c>
      <c r="L18">
        <v>0</v>
      </c>
      <c r="M18">
        <v>0</v>
      </c>
      <c r="N18">
        <v>50</v>
      </c>
      <c r="O18" t="s">
        <v>214</v>
      </c>
      <c r="P18">
        <v>0</v>
      </c>
      <c r="Q18" t="s">
        <v>42</v>
      </c>
      <c r="T18" t="s">
        <v>42</v>
      </c>
      <c r="U18" t="s">
        <v>42</v>
      </c>
      <c r="V18" t="b">
        <v>0</v>
      </c>
      <c r="W18">
        <v>37500</v>
      </c>
      <c r="X18">
        <v>0</v>
      </c>
      <c r="Y18" t="s">
        <v>42</v>
      </c>
      <c r="Z18">
        <v>0</v>
      </c>
      <c r="AA18" t="s">
        <v>242</v>
      </c>
      <c r="AB18" t="s">
        <v>42</v>
      </c>
      <c r="AC18" t="s">
        <v>42</v>
      </c>
      <c r="AD18" t="s">
        <v>42</v>
      </c>
    </row>
    <row r="19" spans="1:30" x14ac:dyDescent="0.3">
      <c r="A19">
        <v>31012</v>
      </c>
      <c r="B19" t="s">
        <v>243</v>
      </c>
      <c r="C19" t="s">
        <v>244</v>
      </c>
      <c r="D19" t="s">
        <v>480</v>
      </c>
      <c r="E19" t="s">
        <v>481</v>
      </c>
      <c r="F19">
        <v>2</v>
      </c>
      <c r="G19" t="s">
        <v>213</v>
      </c>
      <c r="H19">
        <v>2</v>
      </c>
      <c r="I19">
        <v>0</v>
      </c>
      <c r="J19">
        <v>0</v>
      </c>
      <c r="K19">
        <v>5</v>
      </c>
      <c r="L19">
        <v>0</v>
      </c>
      <c r="M19">
        <v>0</v>
      </c>
      <c r="N19">
        <v>50</v>
      </c>
      <c r="O19" t="s">
        <v>214</v>
      </c>
      <c r="P19">
        <v>0</v>
      </c>
      <c r="Q19" t="s">
        <v>457</v>
      </c>
      <c r="R19" t="s">
        <v>458</v>
      </c>
      <c r="S19" t="s">
        <v>459</v>
      </c>
      <c r="T19" t="s">
        <v>460</v>
      </c>
      <c r="U19" t="s">
        <v>461</v>
      </c>
      <c r="V19" t="b">
        <v>0</v>
      </c>
      <c r="W19">
        <v>50000</v>
      </c>
      <c r="X19">
        <v>0</v>
      </c>
      <c r="Y19" t="s">
        <v>42</v>
      </c>
      <c r="Z19">
        <v>0</v>
      </c>
      <c r="AA19" t="s">
        <v>245</v>
      </c>
      <c r="AB19" t="s">
        <v>42</v>
      </c>
      <c r="AC19" t="s">
        <v>42</v>
      </c>
      <c r="AD19" t="s">
        <v>42</v>
      </c>
    </row>
    <row r="20" spans="1:30" x14ac:dyDescent="0.3">
      <c r="A20">
        <v>31013</v>
      </c>
      <c r="B20" t="s">
        <v>246</v>
      </c>
      <c r="C20" t="s">
        <v>247</v>
      </c>
      <c r="D20" t="s">
        <v>482</v>
      </c>
      <c r="E20" t="s">
        <v>483</v>
      </c>
      <c r="F20">
        <v>3</v>
      </c>
      <c r="G20" t="s">
        <v>213</v>
      </c>
      <c r="H20">
        <v>2</v>
      </c>
      <c r="I20">
        <v>0</v>
      </c>
      <c r="J20">
        <v>0</v>
      </c>
      <c r="K20">
        <v>12</v>
      </c>
      <c r="L20">
        <v>0</v>
      </c>
      <c r="M20">
        <v>0</v>
      </c>
      <c r="N20">
        <v>0</v>
      </c>
      <c r="O20" t="s">
        <v>214</v>
      </c>
      <c r="P20">
        <v>0</v>
      </c>
      <c r="Q20" t="s">
        <v>42</v>
      </c>
      <c r="T20" t="s">
        <v>42</v>
      </c>
      <c r="U20" t="s">
        <v>42</v>
      </c>
      <c r="V20" t="b">
        <v>0</v>
      </c>
      <c r="W20">
        <v>125000</v>
      </c>
      <c r="X20">
        <v>0</v>
      </c>
      <c r="Y20" t="s">
        <v>42</v>
      </c>
      <c r="Z20">
        <v>0</v>
      </c>
      <c r="AA20" t="s">
        <v>484</v>
      </c>
      <c r="AB20" t="s">
        <v>42</v>
      </c>
      <c r="AC20" t="s">
        <v>42</v>
      </c>
      <c r="AD20" t="s">
        <v>42</v>
      </c>
    </row>
    <row r="21" spans="1:30" x14ac:dyDescent="0.3">
      <c r="A21">
        <v>31014</v>
      </c>
      <c r="B21" t="s">
        <v>248</v>
      </c>
      <c r="C21" t="s">
        <v>249</v>
      </c>
      <c r="D21" t="s">
        <v>485</v>
      </c>
      <c r="E21" t="s">
        <v>486</v>
      </c>
      <c r="F21">
        <v>3</v>
      </c>
      <c r="G21" t="s">
        <v>213</v>
      </c>
      <c r="H21">
        <v>2</v>
      </c>
      <c r="I21">
        <v>0</v>
      </c>
      <c r="J21">
        <v>0</v>
      </c>
      <c r="K21">
        <v>13</v>
      </c>
      <c r="L21">
        <v>0</v>
      </c>
      <c r="M21">
        <v>0</v>
      </c>
      <c r="N21">
        <v>0</v>
      </c>
      <c r="O21" t="s">
        <v>214</v>
      </c>
      <c r="P21">
        <v>0</v>
      </c>
      <c r="Q21" t="s">
        <v>42</v>
      </c>
      <c r="T21" t="s">
        <v>42</v>
      </c>
      <c r="U21" t="s">
        <v>42</v>
      </c>
      <c r="V21" t="b">
        <v>0</v>
      </c>
      <c r="W21">
        <v>187500</v>
      </c>
      <c r="X21">
        <v>0</v>
      </c>
      <c r="Y21" t="s">
        <v>42</v>
      </c>
      <c r="Z21">
        <v>0</v>
      </c>
      <c r="AA21" t="s">
        <v>250</v>
      </c>
      <c r="AB21" t="s">
        <v>42</v>
      </c>
      <c r="AC21" t="s">
        <v>42</v>
      </c>
      <c r="AD21" t="s">
        <v>42</v>
      </c>
    </row>
    <row r="22" spans="1:30" x14ac:dyDescent="0.3">
      <c r="A22">
        <v>31015</v>
      </c>
      <c r="B22" t="s">
        <v>251</v>
      </c>
      <c r="C22" t="s">
        <v>252</v>
      </c>
      <c r="D22" t="s">
        <v>487</v>
      </c>
      <c r="E22" t="s">
        <v>488</v>
      </c>
      <c r="F22">
        <v>3</v>
      </c>
      <c r="G22" t="s">
        <v>213</v>
      </c>
      <c r="H22">
        <v>2</v>
      </c>
      <c r="I22">
        <v>0</v>
      </c>
      <c r="J22">
        <v>0</v>
      </c>
      <c r="K22">
        <v>13</v>
      </c>
      <c r="L22">
        <v>0</v>
      </c>
      <c r="M22">
        <v>0</v>
      </c>
      <c r="N22">
        <v>0</v>
      </c>
      <c r="O22" t="s">
        <v>214</v>
      </c>
      <c r="P22">
        <v>0</v>
      </c>
      <c r="Q22" t="s">
        <v>457</v>
      </c>
      <c r="R22" t="s">
        <v>458</v>
      </c>
      <c r="S22" t="s">
        <v>459</v>
      </c>
      <c r="T22" t="s">
        <v>460</v>
      </c>
      <c r="U22" t="s">
        <v>461</v>
      </c>
      <c r="V22" t="b">
        <v>0</v>
      </c>
      <c r="W22">
        <v>250000</v>
      </c>
      <c r="X22">
        <v>0</v>
      </c>
      <c r="Y22" t="s">
        <v>42</v>
      </c>
      <c r="Z22">
        <v>0</v>
      </c>
      <c r="AA22" t="s">
        <v>250</v>
      </c>
      <c r="AB22" t="s">
        <v>42</v>
      </c>
      <c r="AC22" t="s">
        <v>42</v>
      </c>
      <c r="AD22" t="s">
        <v>42</v>
      </c>
    </row>
    <row r="23" spans="1:30" x14ac:dyDescent="0.3">
      <c r="A23">
        <v>31016</v>
      </c>
      <c r="B23" t="s">
        <v>253</v>
      </c>
      <c r="C23" t="s">
        <v>254</v>
      </c>
      <c r="D23" t="s">
        <v>489</v>
      </c>
      <c r="E23" t="s">
        <v>490</v>
      </c>
      <c r="F23">
        <v>3</v>
      </c>
      <c r="G23" t="s">
        <v>213</v>
      </c>
      <c r="H23">
        <v>2</v>
      </c>
      <c r="I23">
        <v>0</v>
      </c>
      <c r="J23">
        <v>0</v>
      </c>
      <c r="K23">
        <v>6</v>
      </c>
      <c r="L23">
        <v>0</v>
      </c>
      <c r="M23">
        <v>0</v>
      </c>
      <c r="N23">
        <v>60</v>
      </c>
      <c r="O23" t="s">
        <v>214</v>
      </c>
      <c r="P23">
        <v>0</v>
      </c>
      <c r="Q23" t="s">
        <v>42</v>
      </c>
      <c r="T23" t="s">
        <v>42</v>
      </c>
      <c r="U23" t="s">
        <v>42</v>
      </c>
      <c r="V23" t="b">
        <v>0</v>
      </c>
      <c r="W23">
        <v>125000</v>
      </c>
      <c r="X23">
        <v>0</v>
      </c>
      <c r="Y23" t="s">
        <v>42</v>
      </c>
      <c r="Z23">
        <v>0</v>
      </c>
      <c r="AA23" t="s">
        <v>491</v>
      </c>
      <c r="AB23" t="s">
        <v>42</v>
      </c>
      <c r="AC23" t="s">
        <v>42</v>
      </c>
      <c r="AD23" t="s">
        <v>42</v>
      </c>
    </row>
    <row r="24" spans="1:30" x14ac:dyDescent="0.3">
      <c r="A24">
        <v>31017</v>
      </c>
      <c r="B24" t="s">
        <v>255</v>
      </c>
      <c r="C24" t="s">
        <v>256</v>
      </c>
      <c r="D24" t="s">
        <v>492</v>
      </c>
      <c r="E24" t="s">
        <v>493</v>
      </c>
      <c r="F24">
        <v>3</v>
      </c>
      <c r="G24" t="s">
        <v>213</v>
      </c>
      <c r="H24">
        <v>2</v>
      </c>
      <c r="I24">
        <v>0</v>
      </c>
      <c r="J24">
        <v>0</v>
      </c>
      <c r="K24">
        <v>7</v>
      </c>
      <c r="L24">
        <v>0</v>
      </c>
      <c r="M24">
        <v>0</v>
      </c>
      <c r="N24">
        <v>70</v>
      </c>
      <c r="O24" t="s">
        <v>214</v>
      </c>
      <c r="P24">
        <v>0</v>
      </c>
      <c r="Q24" t="s">
        <v>42</v>
      </c>
      <c r="T24" t="s">
        <v>42</v>
      </c>
      <c r="U24" t="s">
        <v>42</v>
      </c>
      <c r="V24" t="b">
        <v>0</v>
      </c>
      <c r="W24">
        <v>187500</v>
      </c>
      <c r="X24">
        <v>0</v>
      </c>
      <c r="Y24" t="s">
        <v>42</v>
      </c>
      <c r="Z24">
        <v>0</v>
      </c>
      <c r="AA24" t="s">
        <v>257</v>
      </c>
      <c r="AB24" t="s">
        <v>42</v>
      </c>
      <c r="AC24" t="s">
        <v>42</v>
      </c>
      <c r="AD24" t="s">
        <v>42</v>
      </c>
    </row>
    <row r="25" spans="1:30" x14ac:dyDescent="0.3">
      <c r="A25">
        <v>31018</v>
      </c>
      <c r="B25" t="s">
        <v>258</v>
      </c>
      <c r="C25" t="s">
        <v>259</v>
      </c>
      <c r="D25" t="s">
        <v>494</v>
      </c>
      <c r="E25" t="s">
        <v>495</v>
      </c>
      <c r="F25">
        <v>3</v>
      </c>
      <c r="G25" t="s">
        <v>213</v>
      </c>
      <c r="H25">
        <v>2</v>
      </c>
      <c r="I25">
        <v>0</v>
      </c>
      <c r="J25">
        <v>0</v>
      </c>
      <c r="K25">
        <v>7</v>
      </c>
      <c r="L25">
        <v>0</v>
      </c>
      <c r="M25">
        <v>0</v>
      </c>
      <c r="N25">
        <v>70</v>
      </c>
      <c r="O25" t="s">
        <v>214</v>
      </c>
      <c r="P25">
        <v>0</v>
      </c>
      <c r="Q25" t="s">
        <v>457</v>
      </c>
      <c r="R25" t="s">
        <v>458</v>
      </c>
      <c r="S25" t="s">
        <v>459</v>
      </c>
      <c r="T25" t="s">
        <v>460</v>
      </c>
      <c r="U25" t="s">
        <v>461</v>
      </c>
      <c r="V25" t="b">
        <v>0</v>
      </c>
      <c r="W25">
        <v>250000</v>
      </c>
      <c r="X25">
        <v>0</v>
      </c>
      <c r="Y25" t="s">
        <v>42</v>
      </c>
      <c r="Z25">
        <v>0</v>
      </c>
      <c r="AA25" t="s">
        <v>260</v>
      </c>
      <c r="AB25" t="s">
        <v>42</v>
      </c>
      <c r="AC25" t="s">
        <v>42</v>
      </c>
      <c r="AD25" t="s">
        <v>42</v>
      </c>
    </row>
    <row r="26" spans="1:30" x14ac:dyDescent="0.3">
      <c r="A26">
        <v>31019</v>
      </c>
      <c r="B26" t="s">
        <v>261</v>
      </c>
      <c r="C26" t="s">
        <v>262</v>
      </c>
      <c r="D26" t="s">
        <v>496</v>
      </c>
      <c r="E26" t="s">
        <v>497</v>
      </c>
      <c r="F26">
        <v>4</v>
      </c>
      <c r="G26" t="s">
        <v>213</v>
      </c>
      <c r="H26">
        <v>2</v>
      </c>
      <c r="I26">
        <v>0</v>
      </c>
      <c r="J26">
        <v>0</v>
      </c>
      <c r="K26">
        <v>16</v>
      </c>
      <c r="L26">
        <v>0</v>
      </c>
      <c r="M26">
        <v>0</v>
      </c>
      <c r="N26">
        <v>0</v>
      </c>
      <c r="O26" t="s">
        <v>214</v>
      </c>
      <c r="P26">
        <v>0</v>
      </c>
      <c r="Q26" t="s">
        <v>42</v>
      </c>
      <c r="T26" t="s">
        <v>42</v>
      </c>
      <c r="U26" t="s">
        <v>42</v>
      </c>
      <c r="V26" t="b">
        <v>0</v>
      </c>
      <c r="W26">
        <v>625000</v>
      </c>
      <c r="X26">
        <v>0</v>
      </c>
      <c r="Y26" t="s">
        <v>42</v>
      </c>
      <c r="Z26">
        <v>0</v>
      </c>
      <c r="AA26" t="s">
        <v>484</v>
      </c>
      <c r="AB26" t="s">
        <v>42</v>
      </c>
      <c r="AC26" t="s">
        <v>42</v>
      </c>
      <c r="AD26" t="s">
        <v>42</v>
      </c>
    </row>
    <row r="27" spans="1:30" x14ac:dyDescent="0.3">
      <c r="A27">
        <v>31020</v>
      </c>
      <c r="B27" t="s">
        <v>263</v>
      </c>
      <c r="C27" t="s">
        <v>264</v>
      </c>
      <c r="D27" t="s">
        <v>498</v>
      </c>
      <c r="E27" t="s">
        <v>499</v>
      </c>
      <c r="F27">
        <v>4</v>
      </c>
      <c r="G27" t="s">
        <v>213</v>
      </c>
      <c r="H27">
        <v>2</v>
      </c>
      <c r="I27">
        <v>0</v>
      </c>
      <c r="J27">
        <v>0</v>
      </c>
      <c r="K27">
        <v>17</v>
      </c>
      <c r="L27">
        <v>0</v>
      </c>
      <c r="M27">
        <v>0</v>
      </c>
      <c r="N27">
        <v>0</v>
      </c>
      <c r="O27" t="s">
        <v>214</v>
      </c>
      <c r="P27">
        <v>0</v>
      </c>
      <c r="Q27" t="s">
        <v>42</v>
      </c>
      <c r="T27" t="s">
        <v>42</v>
      </c>
      <c r="U27" t="s">
        <v>42</v>
      </c>
      <c r="V27" t="b">
        <v>0</v>
      </c>
      <c r="W27">
        <v>937500</v>
      </c>
      <c r="X27">
        <v>0</v>
      </c>
      <c r="Y27" t="s">
        <v>42</v>
      </c>
      <c r="Z27">
        <v>0</v>
      </c>
      <c r="AA27" t="s">
        <v>250</v>
      </c>
      <c r="AB27" t="s">
        <v>42</v>
      </c>
      <c r="AC27" t="s">
        <v>42</v>
      </c>
      <c r="AD27" t="s">
        <v>42</v>
      </c>
    </row>
    <row r="28" spans="1:30" x14ac:dyDescent="0.3">
      <c r="A28">
        <v>31021</v>
      </c>
      <c r="B28" t="s">
        <v>265</v>
      </c>
      <c r="C28" t="s">
        <v>266</v>
      </c>
      <c r="D28" t="s">
        <v>500</v>
      </c>
      <c r="E28" t="s">
        <v>501</v>
      </c>
      <c r="F28">
        <v>4</v>
      </c>
      <c r="G28" t="s">
        <v>213</v>
      </c>
      <c r="H28">
        <v>2</v>
      </c>
      <c r="I28">
        <v>0</v>
      </c>
      <c r="J28">
        <v>0</v>
      </c>
      <c r="K28">
        <v>17</v>
      </c>
      <c r="L28">
        <v>0</v>
      </c>
      <c r="M28">
        <v>0</v>
      </c>
      <c r="N28">
        <v>0</v>
      </c>
      <c r="O28" t="s">
        <v>214</v>
      </c>
      <c r="P28">
        <v>0</v>
      </c>
      <c r="Q28" t="s">
        <v>457</v>
      </c>
      <c r="R28" t="s">
        <v>458</v>
      </c>
      <c r="S28" t="s">
        <v>459</v>
      </c>
      <c r="T28" t="s">
        <v>460</v>
      </c>
      <c r="U28" t="s">
        <v>461</v>
      </c>
      <c r="V28" t="b">
        <v>0</v>
      </c>
      <c r="W28">
        <v>1250000</v>
      </c>
      <c r="X28">
        <v>0</v>
      </c>
      <c r="Y28" t="s">
        <v>42</v>
      </c>
      <c r="Z28">
        <v>0</v>
      </c>
      <c r="AA28" t="s">
        <v>250</v>
      </c>
      <c r="AB28" t="s">
        <v>42</v>
      </c>
      <c r="AC28" t="s">
        <v>42</v>
      </c>
      <c r="AD28" t="s">
        <v>42</v>
      </c>
    </row>
    <row r="29" spans="1:30" x14ac:dyDescent="0.3">
      <c r="A29">
        <v>31022</v>
      </c>
      <c r="B29" t="s">
        <v>267</v>
      </c>
      <c r="C29" t="s">
        <v>268</v>
      </c>
      <c r="D29" t="s">
        <v>502</v>
      </c>
      <c r="E29" t="s">
        <v>503</v>
      </c>
      <c r="F29">
        <v>4</v>
      </c>
      <c r="G29" t="s">
        <v>213</v>
      </c>
      <c r="H29">
        <v>2</v>
      </c>
      <c r="I29">
        <v>0</v>
      </c>
      <c r="J29">
        <v>0</v>
      </c>
      <c r="K29">
        <v>8</v>
      </c>
      <c r="L29">
        <v>0</v>
      </c>
      <c r="M29">
        <v>0</v>
      </c>
      <c r="N29">
        <v>80</v>
      </c>
      <c r="O29" t="s">
        <v>214</v>
      </c>
      <c r="P29">
        <v>0</v>
      </c>
      <c r="Q29" t="s">
        <v>42</v>
      </c>
      <c r="T29" t="s">
        <v>42</v>
      </c>
      <c r="U29" t="s">
        <v>42</v>
      </c>
      <c r="V29" t="b">
        <v>0</v>
      </c>
      <c r="W29">
        <v>625000</v>
      </c>
      <c r="X29">
        <v>0</v>
      </c>
      <c r="Y29" t="s">
        <v>42</v>
      </c>
      <c r="Z29">
        <v>0</v>
      </c>
      <c r="AA29" t="s">
        <v>491</v>
      </c>
      <c r="AB29" t="s">
        <v>42</v>
      </c>
      <c r="AC29" t="s">
        <v>42</v>
      </c>
      <c r="AD29" t="s">
        <v>42</v>
      </c>
    </row>
    <row r="30" spans="1:30" x14ac:dyDescent="0.3">
      <c r="A30">
        <v>31023</v>
      </c>
      <c r="B30" t="s">
        <v>269</v>
      </c>
      <c r="C30" t="s">
        <v>270</v>
      </c>
      <c r="D30" t="s">
        <v>504</v>
      </c>
      <c r="E30" t="s">
        <v>505</v>
      </c>
      <c r="F30">
        <v>4</v>
      </c>
      <c r="G30" t="s">
        <v>213</v>
      </c>
      <c r="H30">
        <v>2</v>
      </c>
      <c r="I30">
        <v>0</v>
      </c>
      <c r="J30">
        <v>0</v>
      </c>
      <c r="K30">
        <v>9</v>
      </c>
      <c r="L30">
        <v>0</v>
      </c>
      <c r="M30">
        <v>0</v>
      </c>
      <c r="N30">
        <v>90</v>
      </c>
      <c r="O30" t="s">
        <v>214</v>
      </c>
      <c r="P30">
        <v>0</v>
      </c>
      <c r="Q30" t="s">
        <v>42</v>
      </c>
      <c r="T30" t="s">
        <v>42</v>
      </c>
      <c r="U30" t="s">
        <v>42</v>
      </c>
      <c r="V30" t="b">
        <v>0</v>
      </c>
      <c r="W30">
        <v>937500</v>
      </c>
      <c r="X30">
        <v>0</v>
      </c>
      <c r="Y30" t="s">
        <v>42</v>
      </c>
      <c r="Z30">
        <v>0</v>
      </c>
      <c r="AA30" t="s">
        <v>257</v>
      </c>
      <c r="AB30" t="s">
        <v>42</v>
      </c>
      <c r="AC30" t="s">
        <v>42</v>
      </c>
      <c r="AD30" t="s">
        <v>42</v>
      </c>
    </row>
    <row r="31" spans="1:30" x14ac:dyDescent="0.3">
      <c r="A31">
        <v>31024</v>
      </c>
      <c r="B31" t="s">
        <v>271</v>
      </c>
      <c r="C31" t="s">
        <v>272</v>
      </c>
      <c r="D31" t="s">
        <v>506</v>
      </c>
      <c r="E31" t="s">
        <v>507</v>
      </c>
      <c r="F31">
        <v>4</v>
      </c>
      <c r="G31" t="s">
        <v>213</v>
      </c>
      <c r="H31">
        <v>2</v>
      </c>
      <c r="I31">
        <v>0</v>
      </c>
      <c r="J31">
        <v>0</v>
      </c>
      <c r="K31">
        <v>9</v>
      </c>
      <c r="L31">
        <v>0</v>
      </c>
      <c r="M31">
        <v>0</v>
      </c>
      <c r="N31">
        <v>90</v>
      </c>
      <c r="O31" t="s">
        <v>214</v>
      </c>
      <c r="P31">
        <v>0</v>
      </c>
      <c r="Q31" t="s">
        <v>457</v>
      </c>
      <c r="R31" t="s">
        <v>458</v>
      </c>
      <c r="S31" t="s">
        <v>459</v>
      </c>
      <c r="T31" t="s">
        <v>460</v>
      </c>
      <c r="U31" t="s">
        <v>461</v>
      </c>
      <c r="V31" t="b">
        <v>0</v>
      </c>
      <c r="W31">
        <v>1250000</v>
      </c>
      <c r="X31">
        <v>0</v>
      </c>
      <c r="Y31" t="s">
        <v>42</v>
      </c>
      <c r="Z31">
        <v>0</v>
      </c>
      <c r="AA31" t="s">
        <v>260</v>
      </c>
      <c r="AB31" t="s">
        <v>42</v>
      </c>
      <c r="AC31" t="s">
        <v>42</v>
      </c>
      <c r="AD31" t="s">
        <v>42</v>
      </c>
    </row>
    <row r="32" spans="1:30" x14ac:dyDescent="0.3">
      <c r="A32">
        <v>32000</v>
      </c>
      <c r="B32" t="s">
        <v>273</v>
      </c>
      <c r="C32" t="s">
        <v>274</v>
      </c>
      <c r="D32" t="s">
        <v>508</v>
      </c>
      <c r="E32" t="s">
        <v>509</v>
      </c>
      <c r="F32">
        <v>1</v>
      </c>
      <c r="G32" t="s">
        <v>213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  <c r="O32" t="s">
        <v>214</v>
      </c>
      <c r="P32">
        <v>0</v>
      </c>
      <c r="Q32" t="s">
        <v>42</v>
      </c>
      <c r="T32" t="s">
        <v>42</v>
      </c>
      <c r="U32" t="s">
        <v>42</v>
      </c>
      <c r="V32" t="b">
        <v>0</v>
      </c>
      <c r="W32">
        <v>10</v>
      </c>
      <c r="X32">
        <v>0</v>
      </c>
      <c r="Y32" t="s">
        <v>42</v>
      </c>
      <c r="Z32">
        <v>0</v>
      </c>
      <c r="AA32" t="s">
        <v>510</v>
      </c>
      <c r="AB32" t="s">
        <v>42</v>
      </c>
      <c r="AC32" t="s">
        <v>42</v>
      </c>
      <c r="AD32" t="s">
        <v>42</v>
      </c>
    </row>
    <row r="33" spans="1:30" x14ac:dyDescent="0.3">
      <c r="A33">
        <v>32001</v>
      </c>
      <c r="B33" t="s">
        <v>275</v>
      </c>
      <c r="C33" t="s">
        <v>276</v>
      </c>
      <c r="D33" t="s">
        <v>511</v>
      </c>
      <c r="E33" t="s">
        <v>512</v>
      </c>
      <c r="F33">
        <v>1</v>
      </c>
      <c r="G33" t="s">
        <v>213</v>
      </c>
      <c r="H33">
        <v>0</v>
      </c>
      <c r="I33">
        <v>0</v>
      </c>
      <c r="J33">
        <v>0</v>
      </c>
      <c r="K33">
        <v>0</v>
      </c>
      <c r="L33">
        <v>15</v>
      </c>
      <c r="M33">
        <v>0</v>
      </c>
      <c r="N33">
        <v>0</v>
      </c>
      <c r="O33" t="s">
        <v>214</v>
      </c>
      <c r="P33">
        <v>0</v>
      </c>
      <c r="Q33" t="s">
        <v>42</v>
      </c>
      <c r="T33" t="s">
        <v>42</v>
      </c>
      <c r="U33" t="s">
        <v>42</v>
      </c>
      <c r="V33" t="b">
        <v>0</v>
      </c>
      <c r="W33">
        <v>6250</v>
      </c>
      <c r="X33">
        <v>0</v>
      </c>
      <c r="Y33" t="s">
        <v>42</v>
      </c>
      <c r="Z33">
        <v>0</v>
      </c>
      <c r="AA33" t="s">
        <v>277</v>
      </c>
      <c r="AB33" t="s">
        <v>42</v>
      </c>
      <c r="AC33" t="s">
        <v>42</v>
      </c>
      <c r="AD33" t="s">
        <v>42</v>
      </c>
    </row>
    <row r="34" spans="1:30" x14ac:dyDescent="0.3">
      <c r="A34">
        <v>32002</v>
      </c>
      <c r="B34" t="s">
        <v>278</v>
      </c>
      <c r="C34" t="s">
        <v>279</v>
      </c>
      <c r="D34" t="s">
        <v>513</v>
      </c>
      <c r="E34" t="s">
        <v>514</v>
      </c>
      <c r="F34">
        <v>1</v>
      </c>
      <c r="G34" t="s">
        <v>213</v>
      </c>
      <c r="H34">
        <v>0</v>
      </c>
      <c r="I34">
        <v>0</v>
      </c>
      <c r="J34">
        <v>0</v>
      </c>
      <c r="K34">
        <v>0</v>
      </c>
      <c r="L34">
        <v>20</v>
      </c>
      <c r="M34">
        <v>0</v>
      </c>
      <c r="N34">
        <v>0</v>
      </c>
      <c r="O34" t="s">
        <v>214</v>
      </c>
      <c r="P34">
        <v>0</v>
      </c>
      <c r="Q34" t="s">
        <v>42</v>
      </c>
      <c r="T34" t="s">
        <v>42</v>
      </c>
      <c r="U34" t="s">
        <v>42</v>
      </c>
      <c r="V34" t="b">
        <v>0</v>
      </c>
      <c r="W34">
        <v>9370</v>
      </c>
      <c r="X34">
        <v>0</v>
      </c>
      <c r="Y34" t="s">
        <v>42</v>
      </c>
      <c r="Z34">
        <v>0</v>
      </c>
      <c r="AA34" t="s">
        <v>280</v>
      </c>
      <c r="AB34" t="s">
        <v>42</v>
      </c>
      <c r="AC34" t="s">
        <v>42</v>
      </c>
      <c r="AD34" t="s">
        <v>42</v>
      </c>
    </row>
    <row r="35" spans="1:30" x14ac:dyDescent="0.3">
      <c r="A35">
        <v>32003</v>
      </c>
      <c r="B35" t="s">
        <v>281</v>
      </c>
      <c r="C35" t="s">
        <v>282</v>
      </c>
      <c r="D35" t="s">
        <v>515</v>
      </c>
      <c r="E35" t="s">
        <v>516</v>
      </c>
      <c r="F35">
        <v>1</v>
      </c>
      <c r="G35" t="s">
        <v>213</v>
      </c>
      <c r="H35">
        <v>0</v>
      </c>
      <c r="I35">
        <v>0</v>
      </c>
      <c r="J35">
        <v>0</v>
      </c>
      <c r="K35">
        <v>0</v>
      </c>
      <c r="L35">
        <v>22</v>
      </c>
      <c r="M35">
        <v>0</v>
      </c>
      <c r="N35">
        <v>0</v>
      </c>
      <c r="O35" t="s">
        <v>214</v>
      </c>
      <c r="P35">
        <v>0</v>
      </c>
      <c r="Q35" t="s">
        <v>457</v>
      </c>
      <c r="R35" t="s">
        <v>458</v>
      </c>
      <c r="S35" t="s">
        <v>459</v>
      </c>
      <c r="T35" t="s">
        <v>460</v>
      </c>
      <c r="U35" t="s">
        <v>461</v>
      </c>
      <c r="V35" t="b">
        <v>0</v>
      </c>
      <c r="W35">
        <v>12500</v>
      </c>
      <c r="X35">
        <v>0</v>
      </c>
      <c r="Y35" t="s">
        <v>42</v>
      </c>
      <c r="Z35">
        <v>0</v>
      </c>
      <c r="AA35" t="s">
        <v>283</v>
      </c>
      <c r="AB35" t="s">
        <v>42</v>
      </c>
      <c r="AC35" t="s">
        <v>42</v>
      </c>
      <c r="AD35" t="s">
        <v>42</v>
      </c>
    </row>
    <row r="36" spans="1:30" x14ac:dyDescent="0.3">
      <c r="A36">
        <v>32004</v>
      </c>
      <c r="B36" t="s">
        <v>284</v>
      </c>
      <c r="C36" t="s">
        <v>285</v>
      </c>
      <c r="D36" t="s">
        <v>517</v>
      </c>
      <c r="E36" t="s">
        <v>518</v>
      </c>
      <c r="F36">
        <v>2</v>
      </c>
      <c r="G36" t="s">
        <v>213</v>
      </c>
      <c r="H36">
        <v>0</v>
      </c>
      <c r="I36">
        <v>0</v>
      </c>
      <c r="J36">
        <v>0</v>
      </c>
      <c r="K36">
        <v>0</v>
      </c>
      <c r="L36">
        <v>25</v>
      </c>
      <c r="M36">
        <v>0</v>
      </c>
      <c r="N36">
        <v>0</v>
      </c>
      <c r="O36" t="s">
        <v>214</v>
      </c>
      <c r="P36">
        <v>0</v>
      </c>
      <c r="Q36" t="s">
        <v>42</v>
      </c>
      <c r="T36" t="s">
        <v>42</v>
      </c>
      <c r="U36" t="s">
        <v>42</v>
      </c>
      <c r="V36" t="b">
        <v>0</v>
      </c>
      <c r="W36">
        <v>31250</v>
      </c>
      <c r="X36">
        <v>0</v>
      </c>
      <c r="Y36" t="s">
        <v>42</v>
      </c>
      <c r="Z36">
        <v>0</v>
      </c>
      <c r="AA36" t="s">
        <v>277</v>
      </c>
      <c r="AB36" t="s">
        <v>42</v>
      </c>
      <c r="AC36" t="s">
        <v>42</v>
      </c>
      <c r="AD36" t="s">
        <v>42</v>
      </c>
    </row>
    <row r="37" spans="1:30" x14ac:dyDescent="0.3">
      <c r="A37">
        <v>32005</v>
      </c>
      <c r="B37" t="s">
        <v>286</v>
      </c>
      <c r="C37" t="s">
        <v>287</v>
      </c>
      <c r="D37" t="s">
        <v>519</v>
      </c>
      <c r="E37" t="s">
        <v>520</v>
      </c>
      <c r="F37">
        <v>2</v>
      </c>
      <c r="G37" t="s">
        <v>213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 t="s">
        <v>214</v>
      </c>
      <c r="P37">
        <v>0</v>
      </c>
      <c r="Q37" t="s">
        <v>42</v>
      </c>
      <c r="T37" t="s">
        <v>42</v>
      </c>
      <c r="U37" t="s">
        <v>42</v>
      </c>
      <c r="V37" t="b">
        <v>0</v>
      </c>
      <c r="W37">
        <v>46850</v>
      </c>
      <c r="X37">
        <v>0</v>
      </c>
      <c r="Y37" t="s">
        <v>42</v>
      </c>
      <c r="Z37">
        <v>0</v>
      </c>
      <c r="AA37" t="s">
        <v>280</v>
      </c>
      <c r="AB37" t="s">
        <v>42</v>
      </c>
      <c r="AC37" t="s">
        <v>42</v>
      </c>
      <c r="AD37" t="s">
        <v>42</v>
      </c>
    </row>
    <row r="38" spans="1:30" x14ac:dyDescent="0.3">
      <c r="A38">
        <v>32006</v>
      </c>
      <c r="B38" t="s">
        <v>288</v>
      </c>
      <c r="C38" t="s">
        <v>289</v>
      </c>
      <c r="D38" t="s">
        <v>521</v>
      </c>
      <c r="E38" t="s">
        <v>522</v>
      </c>
      <c r="F38">
        <v>2</v>
      </c>
      <c r="G38" t="s">
        <v>213</v>
      </c>
      <c r="H38">
        <v>0</v>
      </c>
      <c r="I38">
        <v>0</v>
      </c>
      <c r="J38">
        <v>0</v>
      </c>
      <c r="K38">
        <v>0</v>
      </c>
      <c r="L38">
        <v>32</v>
      </c>
      <c r="M38">
        <v>0</v>
      </c>
      <c r="N38">
        <v>0</v>
      </c>
      <c r="O38" t="s">
        <v>214</v>
      </c>
      <c r="P38">
        <v>0</v>
      </c>
      <c r="Q38" t="s">
        <v>457</v>
      </c>
      <c r="R38" t="s">
        <v>458</v>
      </c>
      <c r="S38" t="s">
        <v>459</v>
      </c>
      <c r="T38" t="s">
        <v>460</v>
      </c>
      <c r="U38" t="s">
        <v>461</v>
      </c>
      <c r="V38" t="b">
        <v>0</v>
      </c>
      <c r="W38">
        <v>62500</v>
      </c>
      <c r="X38">
        <v>0</v>
      </c>
      <c r="Y38" t="s">
        <v>42</v>
      </c>
      <c r="Z38">
        <v>0</v>
      </c>
      <c r="AA38" t="s">
        <v>283</v>
      </c>
      <c r="AB38" t="s">
        <v>42</v>
      </c>
      <c r="AC38" t="s">
        <v>42</v>
      </c>
      <c r="AD38" t="s">
        <v>42</v>
      </c>
    </row>
    <row r="39" spans="1:30" x14ac:dyDescent="0.3">
      <c r="A39">
        <v>32007</v>
      </c>
      <c r="B39" t="s">
        <v>290</v>
      </c>
      <c r="C39" t="s">
        <v>291</v>
      </c>
      <c r="D39" t="s">
        <v>523</v>
      </c>
      <c r="E39" t="s">
        <v>524</v>
      </c>
      <c r="F39">
        <v>3</v>
      </c>
      <c r="G39" t="s">
        <v>213</v>
      </c>
      <c r="H39">
        <v>0</v>
      </c>
      <c r="I39">
        <v>0</v>
      </c>
      <c r="J39">
        <v>0</v>
      </c>
      <c r="K39">
        <v>0</v>
      </c>
      <c r="L39">
        <v>35</v>
      </c>
      <c r="M39">
        <v>0</v>
      </c>
      <c r="N39">
        <v>0</v>
      </c>
      <c r="O39" t="s">
        <v>214</v>
      </c>
      <c r="P39">
        <v>0</v>
      </c>
      <c r="Q39" t="s">
        <v>42</v>
      </c>
      <c r="T39" t="s">
        <v>42</v>
      </c>
      <c r="U39" t="s">
        <v>42</v>
      </c>
      <c r="V39" t="b">
        <v>0</v>
      </c>
      <c r="W39">
        <v>156250</v>
      </c>
      <c r="X39">
        <v>0</v>
      </c>
      <c r="Y39" t="s">
        <v>42</v>
      </c>
      <c r="Z39">
        <v>0</v>
      </c>
      <c r="AA39" t="s">
        <v>277</v>
      </c>
      <c r="AB39" t="s">
        <v>42</v>
      </c>
      <c r="AC39" t="s">
        <v>42</v>
      </c>
      <c r="AD39" t="s">
        <v>42</v>
      </c>
    </row>
    <row r="40" spans="1:30" x14ac:dyDescent="0.3">
      <c r="A40">
        <v>32008</v>
      </c>
      <c r="B40" t="s">
        <v>292</v>
      </c>
      <c r="C40" t="s">
        <v>293</v>
      </c>
      <c r="D40" t="s">
        <v>525</v>
      </c>
      <c r="E40" t="s">
        <v>526</v>
      </c>
      <c r="F40">
        <v>3</v>
      </c>
      <c r="G40" t="s">
        <v>213</v>
      </c>
      <c r="H40">
        <v>0</v>
      </c>
      <c r="I40">
        <v>0</v>
      </c>
      <c r="J40">
        <v>0</v>
      </c>
      <c r="K40">
        <v>0</v>
      </c>
      <c r="L40">
        <v>40</v>
      </c>
      <c r="M40">
        <v>0</v>
      </c>
      <c r="N40">
        <v>0</v>
      </c>
      <c r="O40" t="s">
        <v>214</v>
      </c>
      <c r="P40">
        <v>0</v>
      </c>
      <c r="Q40" t="s">
        <v>42</v>
      </c>
      <c r="T40" t="s">
        <v>42</v>
      </c>
      <c r="U40" t="s">
        <v>42</v>
      </c>
      <c r="V40" t="b">
        <v>0</v>
      </c>
      <c r="W40">
        <v>234250</v>
      </c>
      <c r="X40">
        <v>0</v>
      </c>
      <c r="Y40" t="s">
        <v>42</v>
      </c>
      <c r="Z40">
        <v>0</v>
      </c>
      <c r="AA40" t="s">
        <v>280</v>
      </c>
      <c r="AB40" t="s">
        <v>42</v>
      </c>
      <c r="AC40" t="s">
        <v>42</v>
      </c>
      <c r="AD40" t="s">
        <v>42</v>
      </c>
    </row>
    <row r="41" spans="1:30" x14ac:dyDescent="0.3">
      <c r="A41">
        <v>32009</v>
      </c>
      <c r="B41" t="s">
        <v>294</v>
      </c>
      <c r="C41" t="s">
        <v>295</v>
      </c>
      <c r="D41" t="s">
        <v>527</v>
      </c>
      <c r="E41" t="s">
        <v>528</v>
      </c>
      <c r="F41">
        <v>3</v>
      </c>
      <c r="G41" t="s">
        <v>213</v>
      </c>
      <c r="H41">
        <v>0</v>
      </c>
      <c r="I41">
        <v>0</v>
      </c>
      <c r="J41">
        <v>0</v>
      </c>
      <c r="K41">
        <v>0</v>
      </c>
      <c r="L41">
        <v>42</v>
      </c>
      <c r="M41">
        <v>0</v>
      </c>
      <c r="N41">
        <v>0</v>
      </c>
      <c r="O41" t="s">
        <v>214</v>
      </c>
      <c r="P41">
        <v>0</v>
      </c>
      <c r="Q41" t="s">
        <v>457</v>
      </c>
      <c r="R41" t="s">
        <v>458</v>
      </c>
      <c r="S41" t="s">
        <v>459</v>
      </c>
      <c r="T41" t="s">
        <v>460</v>
      </c>
      <c r="U41" t="s">
        <v>461</v>
      </c>
      <c r="V41" t="b">
        <v>0</v>
      </c>
      <c r="W41">
        <v>312500</v>
      </c>
      <c r="X41">
        <v>0</v>
      </c>
      <c r="Y41" t="s">
        <v>42</v>
      </c>
      <c r="Z41">
        <v>0</v>
      </c>
      <c r="AA41" t="s">
        <v>283</v>
      </c>
      <c r="AB41" t="s">
        <v>42</v>
      </c>
      <c r="AC41" t="s">
        <v>42</v>
      </c>
      <c r="AD41" t="s">
        <v>42</v>
      </c>
    </row>
    <row r="42" spans="1:30" x14ac:dyDescent="0.3">
      <c r="A42">
        <v>32010</v>
      </c>
      <c r="B42" t="s">
        <v>296</v>
      </c>
      <c r="C42" t="s">
        <v>297</v>
      </c>
      <c r="D42" t="s">
        <v>529</v>
      </c>
      <c r="E42" t="s">
        <v>530</v>
      </c>
      <c r="F42">
        <v>4</v>
      </c>
      <c r="G42" t="s">
        <v>213</v>
      </c>
      <c r="H42">
        <v>0</v>
      </c>
      <c r="I42">
        <v>0</v>
      </c>
      <c r="J42">
        <v>0</v>
      </c>
      <c r="K42">
        <v>0</v>
      </c>
      <c r="L42">
        <v>45</v>
      </c>
      <c r="M42">
        <v>0</v>
      </c>
      <c r="N42">
        <v>0</v>
      </c>
      <c r="O42" t="s">
        <v>214</v>
      </c>
      <c r="P42">
        <v>0</v>
      </c>
      <c r="Q42" t="s">
        <v>42</v>
      </c>
      <c r="T42" t="s">
        <v>42</v>
      </c>
      <c r="U42" t="s">
        <v>42</v>
      </c>
      <c r="V42" t="b">
        <v>0</v>
      </c>
      <c r="W42">
        <v>781250</v>
      </c>
      <c r="X42">
        <v>0</v>
      </c>
      <c r="Y42" t="s">
        <v>42</v>
      </c>
      <c r="Z42">
        <v>0</v>
      </c>
      <c r="AA42" t="s">
        <v>277</v>
      </c>
      <c r="AB42" t="s">
        <v>42</v>
      </c>
      <c r="AC42" t="s">
        <v>42</v>
      </c>
      <c r="AD42" t="s">
        <v>42</v>
      </c>
    </row>
    <row r="43" spans="1:30" x14ac:dyDescent="0.3">
      <c r="A43">
        <v>32011</v>
      </c>
      <c r="B43" t="s">
        <v>298</v>
      </c>
      <c r="C43" t="s">
        <v>299</v>
      </c>
      <c r="D43" t="s">
        <v>531</v>
      </c>
      <c r="E43" t="s">
        <v>532</v>
      </c>
      <c r="F43">
        <v>4</v>
      </c>
      <c r="G43" t="s">
        <v>213</v>
      </c>
      <c r="H43">
        <v>0</v>
      </c>
      <c r="I43">
        <v>0</v>
      </c>
      <c r="J43">
        <v>0</v>
      </c>
      <c r="K43">
        <v>0</v>
      </c>
      <c r="L43">
        <v>50</v>
      </c>
      <c r="M43">
        <v>0</v>
      </c>
      <c r="N43">
        <v>0</v>
      </c>
      <c r="O43" t="s">
        <v>214</v>
      </c>
      <c r="P43">
        <v>0</v>
      </c>
      <c r="Q43" t="s">
        <v>42</v>
      </c>
      <c r="T43" t="s">
        <v>42</v>
      </c>
      <c r="U43" t="s">
        <v>42</v>
      </c>
      <c r="V43" t="b">
        <v>0</v>
      </c>
      <c r="W43">
        <v>1171250</v>
      </c>
      <c r="X43">
        <v>0</v>
      </c>
      <c r="Y43" t="s">
        <v>42</v>
      </c>
      <c r="Z43">
        <v>0</v>
      </c>
      <c r="AA43" t="s">
        <v>280</v>
      </c>
      <c r="AB43" t="s">
        <v>42</v>
      </c>
      <c r="AC43" t="s">
        <v>42</v>
      </c>
      <c r="AD43" t="s">
        <v>42</v>
      </c>
    </row>
    <row r="44" spans="1:30" x14ac:dyDescent="0.3">
      <c r="A44">
        <v>32012</v>
      </c>
      <c r="B44" t="s">
        <v>300</v>
      </c>
      <c r="C44" t="s">
        <v>301</v>
      </c>
      <c r="D44" t="s">
        <v>533</v>
      </c>
      <c r="E44" t="s">
        <v>534</v>
      </c>
      <c r="F44">
        <v>4</v>
      </c>
      <c r="G44" t="s">
        <v>213</v>
      </c>
      <c r="H44">
        <v>0</v>
      </c>
      <c r="I44">
        <v>0</v>
      </c>
      <c r="J44">
        <v>0</v>
      </c>
      <c r="K44">
        <v>0</v>
      </c>
      <c r="L44">
        <v>52</v>
      </c>
      <c r="M44">
        <v>0</v>
      </c>
      <c r="N44">
        <v>0</v>
      </c>
      <c r="O44" t="s">
        <v>214</v>
      </c>
      <c r="P44">
        <v>0</v>
      </c>
      <c r="Q44" t="s">
        <v>457</v>
      </c>
      <c r="R44" t="s">
        <v>458</v>
      </c>
      <c r="S44" t="s">
        <v>459</v>
      </c>
      <c r="T44" t="s">
        <v>460</v>
      </c>
      <c r="U44" t="s">
        <v>461</v>
      </c>
      <c r="V44" t="b">
        <v>0</v>
      </c>
      <c r="W44">
        <v>1562500</v>
      </c>
      <c r="X44">
        <v>0</v>
      </c>
      <c r="Y44" t="s">
        <v>42</v>
      </c>
      <c r="Z44">
        <v>0</v>
      </c>
      <c r="AA44" t="s">
        <v>283</v>
      </c>
      <c r="AB44" t="s">
        <v>42</v>
      </c>
      <c r="AC44" t="s">
        <v>42</v>
      </c>
      <c r="AD44" t="s">
        <v>42</v>
      </c>
    </row>
    <row r="45" spans="1:30" x14ac:dyDescent="0.3">
      <c r="A45">
        <v>33000</v>
      </c>
      <c r="B45" t="s">
        <v>302</v>
      </c>
      <c r="C45" t="s">
        <v>303</v>
      </c>
      <c r="D45" t="s">
        <v>535</v>
      </c>
      <c r="E45" t="s">
        <v>536</v>
      </c>
      <c r="F45">
        <v>1</v>
      </c>
      <c r="G45" t="s">
        <v>213</v>
      </c>
      <c r="H45">
        <v>3</v>
      </c>
      <c r="I45">
        <v>0</v>
      </c>
      <c r="J45">
        <v>0</v>
      </c>
      <c r="K45">
        <v>1</v>
      </c>
      <c r="L45">
        <v>0</v>
      </c>
      <c r="M45">
        <v>5</v>
      </c>
      <c r="N45">
        <v>0</v>
      </c>
      <c r="O45" t="s">
        <v>214</v>
      </c>
      <c r="P45">
        <v>0</v>
      </c>
      <c r="Q45" t="s">
        <v>42</v>
      </c>
      <c r="T45" t="s">
        <v>42</v>
      </c>
      <c r="U45" t="s">
        <v>42</v>
      </c>
      <c r="V45" t="b">
        <v>0</v>
      </c>
      <c r="W45">
        <v>10</v>
      </c>
      <c r="X45">
        <v>0</v>
      </c>
      <c r="Y45" t="s">
        <v>42</v>
      </c>
      <c r="Z45">
        <v>0</v>
      </c>
      <c r="AA45" t="s">
        <v>537</v>
      </c>
      <c r="AB45" t="s">
        <v>42</v>
      </c>
      <c r="AC45" t="s">
        <v>42</v>
      </c>
      <c r="AD45" t="s">
        <v>42</v>
      </c>
    </row>
    <row r="46" spans="1:30" x14ac:dyDescent="0.3">
      <c r="A46">
        <v>33001</v>
      </c>
      <c r="B46" t="s">
        <v>304</v>
      </c>
      <c r="C46" t="s">
        <v>305</v>
      </c>
      <c r="D46" t="s">
        <v>538</v>
      </c>
      <c r="E46" t="s">
        <v>539</v>
      </c>
      <c r="F46">
        <v>1</v>
      </c>
      <c r="G46" t="s">
        <v>213</v>
      </c>
      <c r="H46">
        <v>3</v>
      </c>
      <c r="I46">
        <v>0</v>
      </c>
      <c r="J46">
        <v>0</v>
      </c>
      <c r="K46">
        <v>1</v>
      </c>
      <c r="L46">
        <v>0</v>
      </c>
      <c r="M46">
        <v>10</v>
      </c>
      <c r="N46">
        <v>0</v>
      </c>
      <c r="O46" t="s">
        <v>214</v>
      </c>
      <c r="P46">
        <v>0</v>
      </c>
      <c r="Q46" t="s">
        <v>42</v>
      </c>
      <c r="T46" t="s">
        <v>42</v>
      </c>
      <c r="U46" t="s">
        <v>42</v>
      </c>
      <c r="V46" t="b">
        <v>0</v>
      </c>
      <c r="W46">
        <v>3750</v>
      </c>
      <c r="X46">
        <v>0</v>
      </c>
      <c r="Y46" t="s">
        <v>42</v>
      </c>
      <c r="Z46">
        <v>0</v>
      </c>
      <c r="AA46" t="s">
        <v>306</v>
      </c>
      <c r="AB46" t="s">
        <v>42</v>
      </c>
      <c r="AC46" t="s">
        <v>42</v>
      </c>
      <c r="AD46" t="s">
        <v>42</v>
      </c>
    </row>
    <row r="47" spans="1:30" x14ac:dyDescent="0.3">
      <c r="A47">
        <v>33002</v>
      </c>
      <c r="B47" t="s">
        <v>307</v>
      </c>
      <c r="C47" t="s">
        <v>308</v>
      </c>
      <c r="D47" t="s">
        <v>540</v>
      </c>
      <c r="E47" t="s">
        <v>541</v>
      </c>
      <c r="F47">
        <v>1</v>
      </c>
      <c r="G47" t="s">
        <v>213</v>
      </c>
      <c r="H47">
        <v>3</v>
      </c>
      <c r="I47">
        <v>0</v>
      </c>
      <c r="J47">
        <v>0</v>
      </c>
      <c r="K47">
        <v>1</v>
      </c>
      <c r="L47">
        <v>0</v>
      </c>
      <c r="M47">
        <v>12</v>
      </c>
      <c r="N47">
        <v>0</v>
      </c>
      <c r="O47" t="s">
        <v>214</v>
      </c>
      <c r="P47">
        <v>0</v>
      </c>
      <c r="Q47" t="s">
        <v>42</v>
      </c>
      <c r="T47" t="s">
        <v>42</v>
      </c>
      <c r="U47" t="s">
        <v>42</v>
      </c>
      <c r="V47" t="b">
        <v>0</v>
      </c>
      <c r="W47">
        <v>5630</v>
      </c>
      <c r="X47">
        <v>0</v>
      </c>
      <c r="Y47" t="s">
        <v>42</v>
      </c>
      <c r="Z47">
        <v>0</v>
      </c>
      <c r="AA47" t="s">
        <v>309</v>
      </c>
      <c r="AB47" t="s">
        <v>42</v>
      </c>
      <c r="AC47" t="s">
        <v>42</v>
      </c>
      <c r="AD47" t="s">
        <v>42</v>
      </c>
    </row>
    <row r="48" spans="1:30" x14ac:dyDescent="0.3">
      <c r="A48">
        <v>33003</v>
      </c>
      <c r="B48" t="s">
        <v>310</v>
      </c>
      <c r="C48" t="s">
        <v>311</v>
      </c>
      <c r="D48" t="s">
        <v>542</v>
      </c>
      <c r="E48" t="s">
        <v>543</v>
      </c>
      <c r="F48">
        <v>1</v>
      </c>
      <c r="G48" t="s">
        <v>213</v>
      </c>
      <c r="H48">
        <v>3</v>
      </c>
      <c r="I48">
        <v>0</v>
      </c>
      <c r="J48">
        <v>0</v>
      </c>
      <c r="K48">
        <v>1</v>
      </c>
      <c r="L48">
        <v>0</v>
      </c>
      <c r="M48">
        <v>13</v>
      </c>
      <c r="N48">
        <v>0</v>
      </c>
      <c r="O48" t="s">
        <v>214</v>
      </c>
      <c r="P48">
        <v>0</v>
      </c>
      <c r="Q48" t="s">
        <v>457</v>
      </c>
      <c r="R48" t="s">
        <v>458</v>
      </c>
      <c r="S48" t="s">
        <v>459</v>
      </c>
      <c r="T48" t="s">
        <v>460</v>
      </c>
      <c r="U48" t="s">
        <v>461</v>
      </c>
      <c r="V48" t="b">
        <v>0</v>
      </c>
      <c r="W48">
        <v>7500</v>
      </c>
      <c r="X48">
        <v>0</v>
      </c>
      <c r="Y48" t="s">
        <v>42</v>
      </c>
      <c r="Z48">
        <v>0</v>
      </c>
      <c r="AA48" t="s">
        <v>312</v>
      </c>
      <c r="AB48" t="s">
        <v>42</v>
      </c>
      <c r="AC48" t="s">
        <v>42</v>
      </c>
      <c r="AD48" t="s">
        <v>42</v>
      </c>
    </row>
    <row r="49" spans="1:30" x14ac:dyDescent="0.3">
      <c r="A49">
        <v>33004</v>
      </c>
      <c r="B49" t="s">
        <v>313</v>
      </c>
      <c r="C49" t="s">
        <v>314</v>
      </c>
      <c r="D49" t="s">
        <v>544</v>
      </c>
      <c r="E49" t="s">
        <v>545</v>
      </c>
      <c r="F49">
        <v>2</v>
      </c>
      <c r="G49" t="s">
        <v>213</v>
      </c>
      <c r="H49">
        <v>3</v>
      </c>
      <c r="I49">
        <v>0</v>
      </c>
      <c r="J49">
        <v>0</v>
      </c>
      <c r="K49">
        <v>3</v>
      </c>
      <c r="L49">
        <v>0</v>
      </c>
      <c r="M49">
        <v>15</v>
      </c>
      <c r="N49">
        <v>0</v>
      </c>
      <c r="O49" t="s">
        <v>214</v>
      </c>
      <c r="P49">
        <v>0</v>
      </c>
      <c r="Q49" t="s">
        <v>42</v>
      </c>
      <c r="T49" t="s">
        <v>42</v>
      </c>
      <c r="U49" t="s">
        <v>42</v>
      </c>
      <c r="V49" t="b">
        <v>0</v>
      </c>
      <c r="W49">
        <v>18750</v>
      </c>
      <c r="X49">
        <v>0</v>
      </c>
      <c r="Y49" t="s">
        <v>42</v>
      </c>
      <c r="Z49">
        <v>0</v>
      </c>
      <c r="AA49" t="s">
        <v>306</v>
      </c>
      <c r="AB49" t="s">
        <v>42</v>
      </c>
      <c r="AC49" t="s">
        <v>42</v>
      </c>
      <c r="AD49" t="s">
        <v>42</v>
      </c>
    </row>
    <row r="50" spans="1:30" x14ac:dyDescent="0.3">
      <c r="A50">
        <v>33005</v>
      </c>
      <c r="B50" t="s">
        <v>315</v>
      </c>
      <c r="C50" t="s">
        <v>316</v>
      </c>
      <c r="D50" t="s">
        <v>546</v>
      </c>
      <c r="E50" t="s">
        <v>547</v>
      </c>
      <c r="F50">
        <v>2</v>
      </c>
      <c r="G50" t="s">
        <v>213</v>
      </c>
      <c r="H50">
        <v>3</v>
      </c>
      <c r="I50">
        <v>0</v>
      </c>
      <c r="J50">
        <v>0</v>
      </c>
      <c r="K50">
        <v>3</v>
      </c>
      <c r="L50">
        <v>0</v>
      </c>
      <c r="M50">
        <v>17</v>
      </c>
      <c r="N50">
        <v>0</v>
      </c>
      <c r="O50" t="s">
        <v>214</v>
      </c>
      <c r="P50">
        <v>0</v>
      </c>
      <c r="Q50" t="s">
        <v>42</v>
      </c>
      <c r="T50" t="s">
        <v>42</v>
      </c>
      <c r="U50" t="s">
        <v>42</v>
      </c>
      <c r="V50" t="b">
        <v>0</v>
      </c>
      <c r="W50">
        <v>28130</v>
      </c>
      <c r="X50">
        <v>0</v>
      </c>
      <c r="Y50" t="s">
        <v>42</v>
      </c>
      <c r="Z50">
        <v>0</v>
      </c>
      <c r="AA50" t="s">
        <v>309</v>
      </c>
      <c r="AB50" t="s">
        <v>42</v>
      </c>
      <c r="AC50" t="s">
        <v>42</v>
      </c>
      <c r="AD50" t="s">
        <v>42</v>
      </c>
    </row>
    <row r="51" spans="1:30" x14ac:dyDescent="0.3">
      <c r="A51">
        <v>33006</v>
      </c>
      <c r="B51" t="s">
        <v>317</v>
      </c>
      <c r="C51" t="s">
        <v>318</v>
      </c>
      <c r="D51" t="s">
        <v>548</v>
      </c>
      <c r="E51" t="s">
        <v>549</v>
      </c>
      <c r="F51">
        <v>2</v>
      </c>
      <c r="G51" t="s">
        <v>213</v>
      </c>
      <c r="H51">
        <v>3</v>
      </c>
      <c r="I51">
        <v>0</v>
      </c>
      <c r="J51">
        <v>0</v>
      </c>
      <c r="K51">
        <v>3</v>
      </c>
      <c r="L51">
        <v>0</v>
      </c>
      <c r="M51">
        <v>18</v>
      </c>
      <c r="N51">
        <v>0</v>
      </c>
      <c r="O51" t="s">
        <v>214</v>
      </c>
      <c r="P51">
        <v>0</v>
      </c>
      <c r="Q51" t="s">
        <v>42</v>
      </c>
      <c r="T51" t="s">
        <v>42</v>
      </c>
      <c r="U51" t="s">
        <v>42</v>
      </c>
      <c r="V51" t="b">
        <v>0</v>
      </c>
      <c r="W51">
        <v>37500</v>
      </c>
      <c r="X51">
        <v>0</v>
      </c>
      <c r="Y51" t="s">
        <v>42</v>
      </c>
      <c r="Z51">
        <v>0</v>
      </c>
      <c r="AA51" t="s">
        <v>312</v>
      </c>
      <c r="AB51" t="s">
        <v>42</v>
      </c>
      <c r="AC51" t="s">
        <v>42</v>
      </c>
      <c r="AD51" t="s">
        <v>42</v>
      </c>
    </row>
    <row r="52" spans="1:30" x14ac:dyDescent="0.3">
      <c r="A52">
        <v>33007</v>
      </c>
      <c r="B52" t="s">
        <v>319</v>
      </c>
      <c r="C52" t="s">
        <v>320</v>
      </c>
      <c r="D52" t="s">
        <v>550</v>
      </c>
      <c r="E52" t="s">
        <v>551</v>
      </c>
      <c r="F52">
        <v>3</v>
      </c>
      <c r="G52" t="s">
        <v>213</v>
      </c>
      <c r="H52">
        <v>3</v>
      </c>
      <c r="I52">
        <v>0</v>
      </c>
      <c r="J52">
        <v>0</v>
      </c>
      <c r="K52">
        <v>5</v>
      </c>
      <c r="L52">
        <v>0</v>
      </c>
      <c r="M52">
        <v>20</v>
      </c>
      <c r="N52">
        <v>0</v>
      </c>
      <c r="O52" t="s">
        <v>214</v>
      </c>
      <c r="P52">
        <v>0</v>
      </c>
      <c r="Q52" t="s">
        <v>457</v>
      </c>
      <c r="R52" t="s">
        <v>458</v>
      </c>
      <c r="S52" t="s">
        <v>459</v>
      </c>
      <c r="T52" t="s">
        <v>460</v>
      </c>
      <c r="U52" t="s">
        <v>461</v>
      </c>
      <c r="V52" t="b">
        <v>0</v>
      </c>
      <c r="W52">
        <v>93750</v>
      </c>
      <c r="X52">
        <v>0</v>
      </c>
      <c r="Y52" t="s">
        <v>42</v>
      </c>
      <c r="Z52">
        <v>0</v>
      </c>
      <c r="AA52" t="s">
        <v>306</v>
      </c>
      <c r="AB52" t="s">
        <v>42</v>
      </c>
      <c r="AC52" t="s">
        <v>42</v>
      </c>
      <c r="AD52" t="s">
        <v>42</v>
      </c>
    </row>
    <row r="53" spans="1:30" x14ac:dyDescent="0.3">
      <c r="A53">
        <v>33008</v>
      </c>
      <c r="B53" t="s">
        <v>321</v>
      </c>
      <c r="C53" t="s">
        <v>322</v>
      </c>
      <c r="D53" t="s">
        <v>552</v>
      </c>
      <c r="E53" t="s">
        <v>553</v>
      </c>
      <c r="F53">
        <v>3</v>
      </c>
      <c r="G53" t="s">
        <v>213</v>
      </c>
      <c r="H53">
        <v>3</v>
      </c>
      <c r="I53">
        <v>0</v>
      </c>
      <c r="J53">
        <v>0</v>
      </c>
      <c r="K53">
        <v>5</v>
      </c>
      <c r="L53">
        <v>0</v>
      </c>
      <c r="M53">
        <v>22</v>
      </c>
      <c r="N53">
        <v>0</v>
      </c>
      <c r="O53" t="s">
        <v>214</v>
      </c>
      <c r="P53">
        <v>0</v>
      </c>
      <c r="Q53" t="s">
        <v>42</v>
      </c>
      <c r="T53" t="s">
        <v>42</v>
      </c>
      <c r="U53" t="s">
        <v>42</v>
      </c>
      <c r="V53" t="b">
        <v>0</v>
      </c>
      <c r="W53">
        <v>140630</v>
      </c>
      <c r="X53">
        <v>0</v>
      </c>
      <c r="Y53" t="s">
        <v>42</v>
      </c>
      <c r="Z53">
        <v>0</v>
      </c>
      <c r="AA53" t="s">
        <v>309</v>
      </c>
      <c r="AB53" t="s">
        <v>42</v>
      </c>
      <c r="AC53" t="s">
        <v>42</v>
      </c>
      <c r="AD53" t="s">
        <v>42</v>
      </c>
    </row>
    <row r="54" spans="1:30" x14ac:dyDescent="0.3">
      <c r="A54">
        <v>33009</v>
      </c>
      <c r="B54" t="s">
        <v>323</v>
      </c>
      <c r="C54" t="s">
        <v>324</v>
      </c>
      <c r="D54" t="s">
        <v>554</v>
      </c>
      <c r="E54" t="s">
        <v>555</v>
      </c>
      <c r="F54">
        <v>3</v>
      </c>
      <c r="G54" t="s">
        <v>213</v>
      </c>
      <c r="H54">
        <v>3</v>
      </c>
      <c r="I54">
        <v>0</v>
      </c>
      <c r="J54">
        <v>0</v>
      </c>
      <c r="K54">
        <v>5</v>
      </c>
      <c r="L54">
        <v>0</v>
      </c>
      <c r="M54">
        <v>23</v>
      </c>
      <c r="N54">
        <v>0</v>
      </c>
      <c r="O54" t="s">
        <v>214</v>
      </c>
      <c r="P54">
        <v>0</v>
      </c>
      <c r="Q54" t="s">
        <v>42</v>
      </c>
      <c r="T54" t="s">
        <v>42</v>
      </c>
      <c r="U54" t="s">
        <v>42</v>
      </c>
      <c r="V54" t="b">
        <v>0</v>
      </c>
      <c r="W54">
        <v>187500</v>
      </c>
      <c r="X54">
        <v>0</v>
      </c>
      <c r="Y54" t="s">
        <v>42</v>
      </c>
      <c r="Z54">
        <v>0</v>
      </c>
      <c r="AA54" t="s">
        <v>312</v>
      </c>
      <c r="AB54" t="s">
        <v>42</v>
      </c>
      <c r="AC54" t="s">
        <v>42</v>
      </c>
      <c r="AD54" t="s">
        <v>42</v>
      </c>
    </row>
    <row r="55" spans="1:30" x14ac:dyDescent="0.3">
      <c r="A55">
        <v>33010</v>
      </c>
      <c r="B55" t="s">
        <v>325</v>
      </c>
      <c r="C55" t="s">
        <v>326</v>
      </c>
      <c r="D55" t="s">
        <v>556</v>
      </c>
      <c r="E55" t="s">
        <v>557</v>
      </c>
      <c r="F55">
        <v>4</v>
      </c>
      <c r="G55" t="s">
        <v>213</v>
      </c>
      <c r="H55">
        <v>3</v>
      </c>
      <c r="I55">
        <v>0</v>
      </c>
      <c r="J55">
        <v>0</v>
      </c>
      <c r="K55">
        <v>7</v>
      </c>
      <c r="L55">
        <v>0</v>
      </c>
      <c r="M55">
        <v>25</v>
      </c>
      <c r="N55">
        <v>0</v>
      </c>
      <c r="O55" t="s">
        <v>214</v>
      </c>
      <c r="P55">
        <v>0</v>
      </c>
      <c r="Q55" t="s">
        <v>42</v>
      </c>
      <c r="T55" t="s">
        <v>42</v>
      </c>
      <c r="U55" t="s">
        <v>42</v>
      </c>
      <c r="V55" t="b">
        <v>0</v>
      </c>
      <c r="W55">
        <v>468750</v>
      </c>
      <c r="X55">
        <v>0</v>
      </c>
      <c r="Y55" t="s">
        <v>42</v>
      </c>
      <c r="Z55">
        <v>0</v>
      </c>
      <c r="AA55" t="s">
        <v>306</v>
      </c>
      <c r="AB55" t="s">
        <v>42</v>
      </c>
      <c r="AC55" t="s">
        <v>42</v>
      </c>
      <c r="AD55" t="s">
        <v>42</v>
      </c>
    </row>
    <row r="56" spans="1:30" x14ac:dyDescent="0.3">
      <c r="A56">
        <v>33011</v>
      </c>
      <c r="B56" t="s">
        <v>327</v>
      </c>
      <c r="C56" t="s">
        <v>328</v>
      </c>
      <c r="D56" t="s">
        <v>558</v>
      </c>
      <c r="E56" t="s">
        <v>559</v>
      </c>
      <c r="F56">
        <v>4</v>
      </c>
      <c r="G56" t="s">
        <v>213</v>
      </c>
      <c r="H56">
        <v>3</v>
      </c>
      <c r="I56">
        <v>0</v>
      </c>
      <c r="J56">
        <v>0</v>
      </c>
      <c r="K56">
        <v>7</v>
      </c>
      <c r="L56">
        <v>0</v>
      </c>
      <c r="M56">
        <v>27</v>
      </c>
      <c r="N56">
        <v>0</v>
      </c>
      <c r="O56" t="s">
        <v>214</v>
      </c>
      <c r="P56">
        <v>0</v>
      </c>
      <c r="Q56" t="s">
        <v>457</v>
      </c>
      <c r="R56" t="s">
        <v>458</v>
      </c>
      <c r="S56" t="s">
        <v>459</v>
      </c>
      <c r="T56" t="s">
        <v>460</v>
      </c>
      <c r="U56" t="s">
        <v>461</v>
      </c>
      <c r="V56" t="b">
        <v>0</v>
      </c>
      <c r="W56">
        <v>703130</v>
      </c>
      <c r="X56">
        <v>0</v>
      </c>
      <c r="Y56" t="s">
        <v>42</v>
      </c>
      <c r="Z56">
        <v>0</v>
      </c>
      <c r="AA56" t="s">
        <v>309</v>
      </c>
      <c r="AB56" t="s">
        <v>42</v>
      </c>
      <c r="AC56" t="s">
        <v>42</v>
      </c>
      <c r="AD56" t="s">
        <v>42</v>
      </c>
    </row>
    <row r="57" spans="1:30" x14ac:dyDescent="0.3">
      <c r="A57">
        <v>33012</v>
      </c>
      <c r="B57" t="s">
        <v>329</v>
      </c>
      <c r="C57" t="s">
        <v>330</v>
      </c>
      <c r="D57" t="s">
        <v>560</v>
      </c>
      <c r="E57" t="s">
        <v>561</v>
      </c>
      <c r="F57">
        <v>4</v>
      </c>
      <c r="G57" t="s">
        <v>213</v>
      </c>
      <c r="H57">
        <v>3</v>
      </c>
      <c r="I57">
        <v>0</v>
      </c>
      <c r="J57">
        <v>0</v>
      </c>
      <c r="K57">
        <v>7</v>
      </c>
      <c r="L57">
        <v>0</v>
      </c>
      <c r="M57">
        <v>28</v>
      </c>
      <c r="N57">
        <v>0</v>
      </c>
      <c r="O57" t="s">
        <v>214</v>
      </c>
      <c r="P57">
        <v>0</v>
      </c>
      <c r="Q57" t="s">
        <v>42</v>
      </c>
      <c r="T57" t="s">
        <v>42</v>
      </c>
      <c r="U57" t="s">
        <v>42</v>
      </c>
      <c r="V57" t="b">
        <v>0</v>
      </c>
      <c r="W57">
        <v>937500</v>
      </c>
      <c r="X57">
        <v>0</v>
      </c>
      <c r="Y57" t="s">
        <v>42</v>
      </c>
      <c r="Z57">
        <v>0</v>
      </c>
      <c r="AA57" t="s">
        <v>312</v>
      </c>
      <c r="AB57" t="s">
        <v>42</v>
      </c>
      <c r="AC57" t="s">
        <v>42</v>
      </c>
      <c r="AD57" t="s">
        <v>42</v>
      </c>
    </row>
    <row r="58" spans="1:30" x14ac:dyDescent="0.3">
      <c r="A58">
        <v>34000</v>
      </c>
      <c r="B58" t="s">
        <v>331</v>
      </c>
      <c r="C58" t="s">
        <v>332</v>
      </c>
      <c r="D58" t="s">
        <v>562</v>
      </c>
      <c r="E58" t="s">
        <v>563</v>
      </c>
      <c r="F58">
        <v>1</v>
      </c>
      <c r="G58" t="s">
        <v>213</v>
      </c>
      <c r="H58">
        <v>1</v>
      </c>
      <c r="I58">
        <v>2</v>
      </c>
      <c r="J58">
        <v>2</v>
      </c>
      <c r="K58">
        <v>0</v>
      </c>
      <c r="L58">
        <v>1200</v>
      </c>
      <c r="M58">
        <v>0</v>
      </c>
      <c r="N58">
        <v>0</v>
      </c>
      <c r="O58" t="s">
        <v>214</v>
      </c>
      <c r="P58">
        <v>0</v>
      </c>
      <c r="V58" t="b">
        <v>0</v>
      </c>
      <c r="W58">
        <v>10</v>
      </c>
      <c r="X58">
        <v>0</v>
      </c>
      <c r="Y58" t="s">
        <v>42</v>
      </c>
      <c r="Z58">
        <v>0</v>
      </c>
      <c r="AA58" t="s">
        <v>564</v>
      </c>
      <c r="AB58" t="s">
        <v>42</v>
      </c>
      <c r="AC58" t="s">
        <v>42</v>
      </c>
      <c r="AD58" t="s">
        <v>42</v>
      </c>
    </row>
    <row r="59" spans="1:30" x14ac:dyDescent="0.3">
      <c r="A59">
        <v>34001</v>
      </c>
      <c r="B59" t="s">
        <v>333</v>
      </c>
      <c r="C59" t="s">
        <v>334</v>
      </c>
      <c r="D59" t="s">
        <v>565</v>
      </c>
      <c r="E59" t="s">
        <v>566</v>
      </c>
      <c r="F59">
        <v>1</v>
      </c>
      <c r="G59" t="s">
        <v>213</v>
      </c>
      <c r="H59">
        <v>1</v>
      </c>
      <c r="I59">
        <v>3</v>
      </c>
      <c r="J59">
        <v>2</v>
      </c>
      <c r="K59">
        <v>0</v>
      </c>
      <c r="L59">
        <v>1200</v>
      </c>
      <c r="M59">
        <v>0</v>
      </c>
      <c r="N59">
        <v>0</v>
      </c>
      <c r="O59" t="s">
        <v>214</v>
      </c>
      <c r="P59">
        <v>0</v>
      </c>
      <c r="V59" t="b">
        <v>0</v>
      </c>
      <c r="W59">
        <v>7500</v>
      </c>
      <c r="X59">
        <v>0</v>
      </c>
      <c r="Y59" t="s">
        <v>42</v>
      </c>
      <c r="Z59">
        <v>0</v>
      </c>
      <c r="AA59" t="s">
        <v>335</v>
      </c>
      <c r="AB59" t="s">
        <v>42</v>
      </c>
      <c r="AC59" t="s">
        <v>42</v>
      </c>
      <c r="AD59" t="s">
        <v>42</v>
      </c>
    </row>
    <row r="60" spans="1:30" x14ac:dyDescent="0.3">
      <c r="A60">
        <v>34002</v>
      </c>
      <c r="B60" t="s">
        <v>336</v>
      </c>
      <c r="C60" t="s">
        <v>337</v>
      </c>
      <c r="D60" t="s">
        <v>567</v>
      </c>
      <c r="E60" t="s">
        <v>568</v>
      </c>
      <c r="F60">
        <v>1</v>
      </c>
      <c r="G60" t="s">
        <v>213</v>
      </c>
      <c r="H60">
        <v>1</v>
      </c>
      <c r="I60">
        <v>4</v>
      </c>
      <c r="J60">
        <v>2</v>
      </c>
      <c r="K60">
        <v>0</v>
      </c>
      <c r="L60">
        <v>1200</v>
      </c>
      <c r="M60">
        <v>0</v>
      </c>
      <c r="N60">
        <v>0</v>
      </c>
      <c r="O60" t="s">
        <v>214</v>
      </c>
      <c r="P60">
        <v>0</v>
      </c>
      <c r="V60" t="b">
        <v>0</v>
      </c>
      <c r="W60">
        <v>11250</v>
      </c>
      <c r="X60">
        <v>0</v>
      </c>
      <c r="Y60" t="s">
        <v>42</v>
      </c>
      <c r="Z60">
        <v>0</v>
      </c>
      <c r="AA60" t="s">
        <v>338</v>
      </c>
      <c r="AB60" t="s">
        <v>42</v>
      </c>
      <c r="AC60" t="s">
        <v>42</v>
      </c>
      <c r="AD60" t="s">
        <v>42</v>
      </c>
    </row>
    <row r="61" spans="1:30" x14ac:dyDescent="0.3">
      <c r="A61">
        <v>34003</v>
      </c>
      <c r="B61" t="s">
        <v>339</v>
      </c>
      <c r="C61" t="s">
        <v>340</v>
      </c>
      <c r="D61" t="s">
        <v>569</v>
      </c>
      <c r="E61" t="s">
        <v>570</v>
      </c>
      <c r="F61">
        <v>1</v>
      </c>
      <c r="G61" t="s">
        <v>213</v>
      </c>
      <c r="H61">
        <v>1</v>
      </c>
      <c r="I61">
        <v>4</v>
      </c>
      <c r="J61">
        <v>2</v>
      </c>
      <c r="K61">
        <v>0</v>
      </c>
      <c r="L61">
        <v>1150</v>
      </c>
      <c r="M61">
        <v>0</v>
      </c>
      <c r="N61">
        <v>0</v>
      </c>
      <c r="O61" t="s">
        <v>214</v>
      </c>
      <c r="P61">
        <v>0</v>
      </c>
      <c r="Q61" t="s">
        <v>457</v>
      </c>
      <c r="R61" t="s">
        <v>458</v>
      </c>
      <c r="S61" t="s">
        <v>459</v>
      </c>
      <c r="T61" t="s">
        <v>460</v>
      </c>
      <c r="U61" t="s">
        <v>461</v>
      </c>
      <c r="V61" t="b">
        <v>0</v>
      </c>
      <c r="W61">
        <v>15000</v>
      </c>
      <c r="X61">
        <v>0</v>
      </c>
      <c r="Y61" t="s">
        <v>42</v>
      </c>
      <c r="Z61">
        <v>0</v>
      </c>
      <c r="AA61" t="s">
        <v>341</v>
      </c>
      <c r="AB61" t="s">
        <v>42</v>
      </c>
      <c r="AC61" t="s">
        <v>42</v>
      </c>
      <c r="AD61" t="s">
        <v>42</v>
      </c>
    </row>
    <row r="62" spans="1:30" x14ac:dyDescent="0.3">
      <c r="A62">
        <v>34004</v>
      </c>
      <c r="B62" t="s">
        <v>342</v>
      </c>
      <c r="C62" t="s">
        <v>343</v>
      </c>
      <c r="D62" t="s">
        <v>571</v>
      </c>
      <c r="E62" t="s">
        <v>572</v>
      </c>
      <c r="F62">
        <v>1</v>
      </c>
      <c r="G62" t="s">
        <v>213</v>
      </c>
      <c r="H62">
        <v>1</v>
      </c>
      <c r="I62">
        <v>2</v>
      </c>
      <c r="J62">
        <v>3</v>
      </c>
      <c r="K62">
        <v>0</v>
      </c>
      <c r="L62">
        <v>1400</v>
      </c>
      <c r="M62">
        <v>0</v>
      </c>
      <c r="N62">
        <v>0</v>
      </c>
      <c r="O62" t="s">
        <v>214</v>
      </c>
      <c r="P62">
        <v>0</v>
      </c>
      <c r="V62" t="b">
        <v>0</v>
      </c>
      <c r="W62">
        <v>7500</v>
      </c>
      <c r="X62">
        <v>0</v>
      </c>
      <c r="Y62" t="s">
        <v>42</v>
      </c>
      <c r="Z62">
        <v>0</v>
      </c>
      <c r="AA62" t="s">
        <v>573</v>
      </c>
      <c r="AB62" t="s">
        <v>42</v>
      </c>
      <c r="AC62" t="s">
        <v>42</v>
      </c>
      <c r="AD62" t="s">
        <v>42</v>
      </c>
    </row>
    <row r="63" spans="1:30" x14ac:dyDescent="0.3">
      <c r="A63">
        <v>34005</v>
      </c>
      <c r="B63" t="s">
        <v>344</v>
      </c>
      <c r="C63" t="s">
        <v>345</v>
      </c>
      <c r="D63" t="s">
        <v>574</v>
      </c>
      <c r="E63" t="s">
        <v>575</v>
      </c>
      <c r="F63">
        <v>1</v>
      </c>
      <c r="G63" t="s">
        <v>213</v>
      </c>
      <c r="H63">
        <v>1</v>
      </c>
      <c r="I63">
        <v>2</v>
      </c>
      <c r="J63">
        <v>4</v>
      </c>
      <c r="K63">
        <v>0</v>
      </c>
      <c r="L63">
        <v>1400</v>
      </c>
      <c r="M63">
        <v>0</v>
      </c>
      <c r="N63">
        <v>0</v>
      </c>
      <c r="O63" t="s">
        <v>214</v>
      </c>
      <c r="P63">
        <v>0</v>
      </c>
      <c r="V63" t="b">
        <v>0</v>
      </c>
      <c r="W63">
        <v>11250</v>
      </c>
      <c r="X63">
        <v>0</v>
      </c>
      <c r="Y63" t="s">
        <v>42</v>
      </c>
      <c r="Z63">
        <v>0</v>
      </c>
      <c r="AA63" t="s">
        <v>346</v>
      </c>
      <c r="AB63" t="s">
        <v>42</v>
      </c>
      <c r="AC63" t="s">
        <v>42</v>
      </c>
      <c r="AD63" t="s">
        <v>42</v>
      </c>
    </row>
    <row r="64" spans="1:30" x14ac:dyDescent="0.3">
      <c r="A64">
        <v>34006</v>
      </c>
      <c r="B64" t="s">
        <v>347</v>
      </c>
      <c r="C64" t="s">
        <v>348</v>
      </c>
      <c r="D64" t="s">
        <v>576</v>
      </c>
      <c r="E64" t="s">
        <v>577</v>
      </c>
      <c r="F64">
        <v>1</v>
      </c>
      <c r="G64" t="s">
        <v>213</v>
      </c>
      <c r="H64">
        <v>1</v>
      </c>
      <c r="I64">
        <v>2</v>
      </c>
      <c r="J64">
        <v>4</v>
      </c>
      <c r="K64">
        <v>0</v>
      </c>
      <c r="L64">
        <v>1350</v>
      </c>
      <c r="M64">
        <v>0</v>
      </c>
      <c r="N64">
        <v>0</v>
      </c>
      <c r="O64" t="s">
        <v>214</v>
      </c>
      <c r="P64">
        <v>0</v>
      </c>
      <c r="Q64" t="s">
        <v>457</v>
      </c>
      <c r="R64" t="s">
        <v>458</v>
      </c>
      <c r="S64" t="s">
        <v>459</v>
      </c>
      <c r="T64" t="s">
        <v>460</v>
      </c>
      <c r="U64" t="s">
        <v>461</v>
      </c>
      <c r="V64" t="b">
        <v>0</v>
      </c>
      <c r="W64">
        <v>15000</v>
      </c>
      <c r="X64">
        <v>0</v>
      </c>
      <c r="Y64" t="s">
        <v>42</v>
      </c>
      <c r="Z64">
        <v>0</v>
      </c>
      <c r="AA64" t="s">
        <v>349</v>
      </c>
      <c r="AB64" t="s">
        <v>42</v>
      </c>
      <c r="AC64" t="s">
        <v>42</v>
      </c>
      <c r="AD64" t="s">
        <v>42</v>
      </c>
    </row>
    <row r="65" spans="1:30" x14ac:dyDescent="0.3">
      <c r="A65">
        <v>34007</v>
      </c>
      <c r="B65" t="s">
        <v>350</v>
      </c>
      <c r="C65" t="s">
        <v>351</v>
      </c>
      <c r="D65" t="s">
        <v>578</v>
      </c>
      <c r="E65" t="s">
        <v>579</v>
      </c>
      <c r="F65">
        <v>1</v>
      </c>
      <c r="G65" t="s">
        <v>213</v>
      </c>
      <c r="H65">
        <v>1</v>
      </c>
      <c r="I65">
        <v>2</v>
      </c>
      <c r="J65">
        <v>1</v>
      </c>
      <c r="K65">
        <v>0</v>
      </c>
      <c r="L65">
        <v>900</v>
      </c>
      <c r="M65">
        <v>0</v>
      </c>
      <c r="N65">
        <v>0</v>
      </c>
      <c r="O65" t="s">
        <v>214</v>
      </c>
      <c r="P65">
        <v>0</v>
      </c>
      <c r="V65" t="b">
        <v>0</v>
      </c>
      <c r="W65">
        <v>7500</v>
      </c>
      <c r="X65">
        <v>0</v>
      </c>
      <c r="Y65" t="s">
        <v>42</v>
      </c>
      <c r="Z65">
        <v>0</v>
      </c>
      <c r="AA65" t="s">
        <v>580</v>
      </c>
      <c r="AB65" t="s">
        <v>42</v>
      </c>
      <c r="AC65" t="s">
        <v>42</v>
      </c>
      <c r="AD65" t="s">
        <v>42</v>
      </c>
    </row>
    <row r="66" spans="1:30" x14ac:dyDescent="0.3">
      <c r="A66">
        <v>34008</v>
      </c>
      <c r="B66" t="s">
        <v>352</v>
      </c>
      <c r="C66" t="s">
        <v>353</v>
      </c>
      <c r="D66" t="s">
        <v>581</v>
      </c>
      <c r="E66" t="s">
        <v>582</v>
      </c>
      <c r="F66">
        <v>1</v>
      </c>
      <c r="G66" t="s">
        <v>213</v>
      </c>
      <c r="H66">
        <v>1</v>
      </c>
      <c r="I66">
        <v>2</v>
      </c>
      <c r="J66">
        <v>1</v>
      </c>
      <c r="K66">
        <v>0</v>
      </c>
      <c r="L66">
        <v>800</v>
      </c>
      <c r="M66">
        <v>0</v>
      </c>
      <c r="N66">
        <v>0</v>
      </c>
      <c r="O66" t="s">
        <v>214</v>
      </c>
      <c r="P66">
        <v>0</v>
      </c>
      <c r="V66" t="b">
        <v>0</v>
      </c>
      <c r="W66">
        <v>11250</v>
      </c>
      <c r="X66">
        <v>0</v>
      </c>
      <c r="Y66" t="s">
        <v>42</v>
      </c>
      <c r="Z66">
        <v>0</v>
      </c>
      <c r="AA66" t="s">
        <v>354</v>
      </c>
      <c r="AB66" t="s">
        <v>42</v>
      </c>
      <c r="AC66" t="s">
        <v>42</v>
      </c>
      <c r="AD66" t="s">
        <v>42</v>
      </c>
    </row>
    <row r="67" spans="1:30" x14ac:dyDescent="0.3">
      <c r="A67">
        <v>34009</v>
      </c>
      <c r="B67" t="s">
        <v>355</v>
      </c>
      <c r="C67" t="s">
        <v>356</v>
      </c>
      <c r="D67" t="s">
        <v>583</v>
      </c>
      <c r="E67" t="s">
        <v>584</v>
      </c>
      <c r="F67">
        <v>1</v>
      </c>
      <c r="G67" t="s">
        <v>213</v>
      </c>
      <c r="H67">
        <v>1</v>
      </c>
      <c r="I67">
        <v>2</v>
      </c>
      <c r="J67">
        <v>1</v>
      </c>
      <c r="K67">
        <v>0</v>
      </c>
      <c r="L67">
        <v>750</v>
      </c>
      <c r="M67">
        <v>0</v>
      </c>
      <c r="N67">
        <v>0</v>
      </c>
      <c r="O67" t="s">
        <v>214</v>
      </c>
      <c r="P67">
        <v>0</v>
      </c>
      <c r="Q67" t="s">
        <v>457</v>
      </c>
      <c r="R67" t="s">
        <v>458</v>
      </c>
      <c r="S67" t="s">
        <v>459</v>
      </c>
      <c r="T67" t="s">
        <v>460</v>
      </c>
      <c r="U67" t="s">
        <v>461</v>
      </c>
      <c r="V67" t="b">
        <v>0</v>
      </c>
      <c r="W67">
        <v>15000</v>
      </c>
      <c r="X67">
        <v>0</v>
      </c>
      <c r="Y67" t="s">
        <v>42</v>
      </c>
      <c r="Z67">
        <v>0</v>
      </c>
      <c r="AA67" t="s">
        <v>357</v>
      </c>
      <c r="AB67" t="s">
        <v>42</v>
      </c>
      <c r="AC67" t="s">
        <v>42</v>
      </c>
      <c r="AD67" t="s">
        <v>42</v>
      </c>
    </row>
    <row r="68" spans="1:30" x14ac:dyDescent="0.3">
      <c r="A68">
        <v>34010</v>
      </c>
      <c r="B68" t="s">
        <v>358</v>
      </c>
      <c r="C68" t="s">
        <v>359</v>
      </c>
      <c r="D68" t="s">
        <v>585</v>
      </c>
      <c r="E68" t="s">
        <v>586</v>
      </c>
      <c r="F68">
        <v>2</v>
      </c>
      <c r="G68" t="s">
        <v>213</v>
      </c>
      <c r="H68">
        <v>1</v>
      </c>
      <c r="I68">
        <v>5</v>
      </c>
      <c r="J68">
        <v>3</v>
      </c>
      <c r="K68">
        <v>0</v>
      </c>
      <c r="L68">
        <v>1200</v>
      </c>
      <c r="M68">
        <v>0</v>
      </c>
      <c r="N68">
        <v>0</v>
      </c>
      <c r="O68" t="s">
        <v>214</v>
      </c>
      <c r="P68">
        <v>0</v>
      </c>
      <c r="V68" t="b">
        <v>0</v>
      </c>
      <c r="W68">
        <v>37500</v>
      </c>
      <c r="X68">
        <v>0</v>
      </c>
      <c r="Y68" t="s">
        <v>42</v>
      </c>
      <c r="Z68">
        <v>0</v>
      </c>
      <c r="AA68" t="s">
        <v>335</v>
      </c>
      <c r="AB68" t="s">
        <v>42</v>
      </c>
      <c r="AC68" t="s">
        <v>42</v>
      </c>
      <c r="AD68" t="s">
        <v>42</v>
      </c>
    </row>
    <row r="69" spans="1:30" x14ac:dyDescent="0.3">
      <c r="A69">
        <v>34011</v>
      </c>
      <c r="B69" t="s">
        <v>360</v>
      </c>
      <c r="C69" t="s">
        <v>361</v>
      </c>
      <c r="D69" t="s">
        <v>587</v>
      </c>
      <c r="E69" t="s">
        <v>588</v>
      </c>
      <c r="F69">
        <v>2</v>
      </c>
      <c r="G69" t="s">
        <v>213</v>
      </c>
      <c r="H69">
        <v>1</v>
      </c>
      <c r="I69">
        <v>6</v>
      </c>
      <c r="J69">
        <v>3</v>
      </c>
      <c r="K69">
        <v>0</v>
      </c>
      <c r="L69">
        <v>1200</v>
      </c>
      <c r="M69">
        <v>0</v>
      </c>
      <c r="N69">
        <v>0</v>
      </c>
      <c r="O69" t="s">
        <v>214</v>
      </c>
      <c r="P69">
        <v>0</v>
      </c>
      <c r="V69" t="b">
        <v>0</v>
      </c>
      <c r="W69">
        <v>56250</v>
      </c>
      <c r="X69">
        <v>0</v>
      </c>
      <c r="Y69" t="s">
        <v>42</v>
      </c>
      <c r="Z69">
        <v>0</v>
      </c>
      <c r="AA69" t="s">
        <v>338</v>
      </c>
      <c r="AB69" t="s">
        <v>42</v>
      </c>
      <c r="AC69" t="s">
        <v>42</v>
      </c>
      <c r="AD69" t="s">
        <v>42</v>
      </c>
    </row>
    <row r="70" spans="1:30" x14ac:dyDescent="0.3">
      <c r="A70">
        <v>34012</v>
      </c>
      <c r="B70" t="s">
        <v>362</v>
      </c>
      <c r="C70" t="s">
        <v>363</v>
      </c>
      <c r="D70" t="s">
        <v>589</v>
      </c>
      <c r="E70" t="s">
        <v>590</v>
      </c>
      <c r="F70">
        <v>2</v>
      </c>
      <c r="G70" t="s">
        <v>213</v>
      </c>
      <c r="H70">
        <v>1</v>
      </c>
      <c r="I70">
        <v>6</v>
      </c>
      <c r="J70">
        <v>3</v>
      </c>
      <c r="K70">
        <v>0</v>
      </c>
      <c r="L70">
        <v>1150</v>
      </c>
      <c r="M70">
        <v>0</v>
      </c>
      <c r="N70">
        <v>0</v>
      </c>
      <c r="O70" t="s">
        <v>214</v>
      </c>
      <c r="P70">
        <v>0</v>
      </c>
      <c r="Q70" t="s">
        <v>457</v>
      </c>
      <c r="R70" t="s">
        <v>458</v>
      </c>
      <c r="S70" t="s">
        <v>459</v>
      </c>
      <c r="T70" t="s">
        <v>460</v>
      </c>
      <c r="U70" t="s">
        <v>461</v>
      </c>
      <c r="V70" t="b">
        <v>0</v>
      </c>
      <c r="W70">
        <v>75000</v>
      </c>
      <c r="X70">
        <v>0</v>
      </c>
      <c r="Y70" t="s">
        <v>42</v>
      </c>
      <c r="Z70">
        <v>0</v>
      </c>
      <c r="AA70" t="s">
        <v>341</v>
      </c>
      <c r="AB70" t="s">
        <v>42</v>
      </c>
      <c r="AC70" t="s">
        <v>42</v>
      </c>
      <c r="AD70" t="s">
        <v>42</v>
      </c>
    </row>
    <row r="71" spans="1:30" x14ac:dyDescent="0.3">
      <c r="A71">
        <v>34013</v>
      </c>
      <c r="B71" t="s">
        <v>364</v>
      </c>
      <c r="C71" t="s">
        <v>365</v>
      </c>
      <c r="D71" t="s">
        <v>591</v>
      </c>
      <c r="E71" t="s">
        <v>592</v>
      </c>
      <c r="F71">
        <v>2</v>
      </c>
      <c r="G71" t="s">
        <v>213</v>
      </c>
      <c r="H71">
        <v>1</v>
      </c>
      <c r="I71">
        <v>3</v>
      </c>
      <c r="J71">
        <v>5</v>
      </c>
      <c r="K71">
        <v>0</v>
      </c>
      <c r="L71">
        <v>1400</v>
      </c>
      <c r="M71">
        <v>0</v>
      </c>
      <c r="N71">
        <v>0</v>
      </c>
      <c r="O71" t="s">
        <v>214</v>
      </c>
      <c r="P71">
        <v>0</v>
      </c>
      <c r="V71" t="b">
        <v>0</v>
      </c>
      <c r="W71">
        <v>37500</v>
      </c>
      <c r="X71">
        <v>0</v>
      </c>
      <c r="Y71" t="s">
        <v>42</v>
      </c>
      <c r="Z71">
        <v>0</v>
      </c>
      <c r="AA71" t="s">
        <v>573</v>
      </c>
      <c r="AB71" t="s">
        <v>42</v>
      </c>
      <c r="AC71" t="s">
        <v>42</v>
      </c>
      <c r="AD71" t="s">
        <v>42</v>
      </c>
    </row>
    <row r="72" spans="1:30" x14ac:dyDescent="0.3">
      <c r="A72">
        <v>34014</v>
      </c>
      <c r="B72" t="s">
        <v>366</v>
      </c>
      <c r="C72" t="s">
        <v>367</v>
      </c>
      <c r="D72" t="s">
        <v>593</v>
      </c>
      <c r="E72" t="s">
        <v>594</v>
      </c>
      <c r="F72">
        <v>2</v>
      </c>
      <c r="G72" t="s">
        <v>213</v>
      </c>
      <c r="H72">
        <v>1</v>
      </c>
      <c r="I72">
        <v>3</v>
      </c>
      <c r="J72">
        <v>6</v>
      </c>
      <c r="K72">
        <v>0</v>
      </c>
      <c r="L72">
        <v>1400</v>
      </c>
      <c r="M72">
        <v>0</v>
      </c>
      <c r="N72">
        <v>0</v>
      </c>
      <c r="O72" t="s">
        <v>214</v>
      </c>
      <c r="P72">
        <v>0</v>
      </c>
      <c r="V72" t="b">
        <v>0</v>
      </c>
      <c r="W72">
        <v>56250</v>
      </c>
      <c r="X72">
        <v>0</v>
      </c>
      <c r="Y72" t="s">
        <v>42</v>
      </c>
      <c r="Z72">
        <v>0</v>
      </c>
      <c r="AA72" t="s">
        <v>346</v>
      </c>
      <c r="AB72" t="s">
        <v>42</v>
      </c>
      <c r="AC72" t="s">
        <v>42</v>
      </c>
      <c r="AD72" t="s">
        <v>42</v>
      </c>
    </row>
    <row r="73" spans="1:30" x14ac:dyDescent="0.3">
      <c r="A73">
        <v>34015</v>
      </c>
      <c r="B73" t="s">
        <v>368</v>
      </c>
      <c r="C73" t="s">
        <v>369</v>
      </c>
      <c r="D73" t="s">
        <v>595</v>
      </c>
      <c r="E73" t="s">
        <v>596</v>
      </c>
      <c r="F73">
        <v>2</v>
      </c>
      <c r="G73" t="s">
        <v>213</v>
      </c>
      <c r="H73">
        <v>1</v>
      </c>
      <c r="I73">
        <v>3</v>
      </c>
      <c r="J73">
        <v>6</v>
      </c>
      <c r="K73">
        <v>0</v>
      </c>
      <c r="L73">
        <v>1350</v>
      </c>
      <c r="M73">
        <v>0</v>
      </c>
      <c r="N73">
        <v>0</v>
      </c>
      <c r="O73" t="s">
        <v>214</v>
      </c>
      <c r="P73">
        <v>0</v>
      </c>
      <c r="Q73" t="s">
        <v>457</v>
      </c>
      <c r="R73" t="s">
        <v>458</v>
      </c>
      <c r="S73" t="s">
        <v>459</v>
      </c>
      <c r="T73" t="s">
        <v>460</v>
      </c>
      <c r="U73" t="s">
        <v>461</v>
      </c>
      <c r="V73" t="b">
        <v>0</v>
      </c>
      <c r="W73">
        <v>75000</v>
      </c>
      <c r="X73">
        <v>0</v>
      </c>
      <c r="Y73" t="s">
        <v>42</v>
      </c>
      <c r="Z73">
        <v>0</v>
      </c>
      <c r="AA73" t="s">
        <v>349</v>
      </c>
      <c r="AB73" t="s">
        <v>42</v>
      </c>
      <c r="AC73" t="s">
        <v>42</v>
      </c>
      <c r="AD73" t="s">
        <v>42</v>
      </c>
    </row>
    <row r="74" spans="1:30" x14ac:dyDescent="0.3">
      <c r="A74">
        <v>34016</v>
      </c>
      <c r="B74" t="s">
        <v>370</v>
      </c>
      <c r="C74" t="s">
        <v>371</v>
      </c>
      <c r="D74" t="s">
        <v>597</v>
      </c>
      <c r="E74" t="s">
        <v>598</v>
      </c>
      <c r="F74">
        <v>2</v>
      </c>
      <c r="G74" t="s">
        <v>213</v>
      </c>
      <c r="H74">
        <v>1</v>
      </c>
      <c r="I74">
        <v>3</v>
      </c>
      <c r="J74">
        <v>2</v>
      </c>
      <c r="K74">
        <v>0</v>
      </c>
      <c r="L74">
        <v>900</v>
      </c>
      <c r="M74">
        <v>0</v>
      </c>
      <c r="N74">
        <v>0</v>
      </c>
      <c r="O74" t="s">
        <v>214</v>
      </c>
      <c r="P74">
        <v>0</v>
      </c>
      <c r="V74" t="b">
        <v>0</v>
      </c>
      <c r="W74">
        <v>37500</v>
      </c>
      <c r="X74">
        <v>0</v>
      </c>
      <c r="Y74" t="s">
        <v>42</v>
      </c>
      <c r="Z74">
        <v>0</v>
      </c>
      <c r="AA74" t="s">
        <v>580</v>
      </c>
      <c r="AB74" t="s">
        <v>42</v>
      </c>
      <c r="AC74" t="s">
        <v>42</v>
      </c>
      <c r="AD74" t="s">
        <v>42</v>
      </c>
    </row>
    <row r="75" spans="1:30" x14ac:dyDescent="0.3">
      <c r="A75">
        <v>34017</v>
      </c>
      <c r="B75" t="s">
        <v>372</v>
      </c>
      <c r="C75" t="s">
        <v>373</v>
      </c>
      <c r="D75" t="s">
        <v>599</v>
      </c>
      <c r="E75" t="s">
        <v>600</v>
      </c>
      <c r="F75">
        <v>2</v>
      </c>
      <c r="G75" t="s">
        <v>213</v>
      </c>
      <c r="H75">
        <v>1</v>
      </c>
      <c r="I75">
        <v>3</v>
      </c>
      <c r="J75">
        <v>2</v>
      </c>
      <c r="K75">
        <v>0</v>
      </c>
      <c r="L75">
        <v>800</v>
      </c>
      <c r="M75">
        <v>0</v>
      </c>
      <c r="N75">
        <v>0</v>
      </c>
      <c r="O75" t="s">
        <v>214</v>
      </c>
      <c r="P75">
        <v>0</v>
      </c>
      <c r="V75" t="b">
        <v>0</v>
      </c>
      <c r="W75">
        <v>56250</v>
      </c>
      <c r="X75">
        <v>0</v>
      </c>
      <c r="Y75" t="s">
        <v>42</v>
      </c>
      <c r="Z75">
        <v>0</v>
      </c>
      <c r="AA75" t="s">
        <v>354</v>
      </c>
      <c r="AB75" t="s">
        <v>42</v>
      </c>
      <c r="AC75" t="s">
        <v>42</v>
      </c>
      <c r="AD75" t="s">
        <v>42</v>
      </c>
    </row>
    <row r="76" spans="1:30" x14ac:dyDescent="0.3">
      <c r="A76">
        <v>34018</v>
      </c>
      <c r="B76" t="s">
        <v>374</v>
      </c>
      <c r="C76" t="s">
        <v>375</v>
      </c>
      <c r="D76" t="s">
        <v>601</v>
      </c>
      <c r="E76" t="s">
        <v>602</v>
      </c>
      <c r="F76">
        <v>2</v>
      </c>
      <c r="G76" t="s">
        <v>213</v>
      </c>
      <c r="H76">
        <v>1</v>
      </c>
      <c r="I76">
        <v>3</v>
      </c>
      <c r="J76">
        <v>2</v>
      </c>
      <c r="K76">
        <v>0</v>
      </c>
      <c r="L76">
        <v>750</v>
      </c>
      <c r="M76">
        <v>0</v>
      </c>
      <c r="N76">
        <v>0</v>
      </c>
      <c r="O76" t="s">
        <v>214</v>
      </c>
      <c r="P76">
        <v>0</v>
      </c>
      <c r="Q76" t="s">
        <v>457</v>
      </c>
      <c r="R76" t="s">
        <v>458</v>
      </c>
      <c r="S76" t="s">
        <v>459</v>
      </c>
      <c r="T76" t="s">
        <v>460</v>
      </c>
      <c r="U76" t="s">
        <v>461</v>
      </c>
      <c r="V76" t="b">
        <v>0</v>
      </c>
      <c r="W76">
        <v>75000</v>
      </c>
      <c r="X76">
        <v>0</v>
      </c>
      <c r="Y76" t="s">
        <v>42</v>
      </c>
      <c r="Z76">
        <v>0</v>
      </c>
      <c r="AA76" t="s">
        <v>357</v>
      </c>
      <c r="AB76" t="s">
        <v>42</v>
      </c>
      <c r="AC76" t="s">
        <v>42</v>
      </c>
      <c r="AD76" t="s">
        <v>42</v>
      </c>
    </row>
    <row r="77" spans="1:30" x14ac:dyDescent="0.3">
      <c r="A77">
        <v>34019</v>
      </c>
      <c r="B77" t="s">
        <v>376</v>
      </c>
      <c r="C77" t="s">
        <v>377</v>
      </c>
      <c r="D77" t="s">
        <v>603</v>
      </c>
      <c r="E77" t="s">
        <v>604</v>
      </c>
      <c r="F77">
        <v>3</v>
      </c>
      <c r="G77" t="s">
        <v>213</v>
      </c>
      <c r="H77">
        <v>1</v>
      </c>
      <c r="I77">
        <v>7</v>
      </c>
      <c r="J77">
        <v>5</v>
      </c>
      <c r="K77">
        <v>0</v>
      </c>
      <c r="L77">
        <v>1200</v>
      </c>
      <c r="M77">
        <v>0</v>
      </c>
      <c r="N77">
        <v>0</v>
      </c>
      <c r="O77" t="s">
        <v>214</v>
      </c>
      <c r="P77">
        <v>0</v>
      </c>
      <c r="V77" t="b">
        <v>0</v>
      </c>
      <c r="W77">
        <v>187500</v>
      </c>
      <c r="X77">
        <v>0</v>
      </c>
      <c r="Y77" t="s">
        <v>42</v>
      </c>
      <c r="Z77">
        <v>0</v>
      </c>
      <c r="AA77" t="s">
        <v>335</v>
      </c>
      <c r="AB77" t="s">
        <v>42</v>
      </c>
      <c r="AC77" t="s">
        <v>42</v>
      </c>
      <c r="AD77" t="s">
        <v>42</v>
      </c>
    </row>
    <row r="78" spans="1:30" x14ac:dyDescent="0.3">
      <c r="A78">
        <v>34020</v>
      </c>
      <c r="B78" t="s">
        <v>378</v>
      </c>
      <c r="C78" t="s">
        <v>379</v>
      </c>
      <c r="D78" t="s">
        <v>605</v>
      </c>
      <c r="E78" t="s">
        <v>606</v>
      </c>
      <c r="F78">
        <v>3</v>
      </c>
      <c r="G78" t="s">
        <v>213</v>
      </c>
      <c r="H78">
        <v>1</v>
      </c>
      <c r="I78">
        <v>8</v>
      </c>
      <c r="J78">
        <v>5</v>
      </c>
      <c r="K78">
        <v>0</v>
      </c>
      <c r="L78">
        <v>1200</v>
      </c>
      <c r="M78">
        <v>0</v>
      </c>
      <c r="N78">
        <v>0</v>
      </c>
      <c r="O78" t="s">
        <v>214</v>
      </c>
      <c r="P78">
        <v>0</v>
      </c>
      <c r="V78" t="b">
        <v>0</v>
      </c>
      <c r="W78">
        <v>281250</v>
      </c>
      <c r="X78">
        <v>0</v>
      </c>
      <c r="Y78" t="s">
        <v>42</v>
      </c>
      <c r="Z78">
        <v>0</v>
      </c>
      <c r="AA78" t="s">
        <v>338</v>
      </c>
      <c r="AB78" t="s">
        <v>42</v>
      </c>
      <c r="AC78" t="s">
        <v>42</v>
      </c>
      <c r="AD78" t="s">
        <v>42</v>
      </c>
    </row>
    <row r="79" spans="1:30" x14ac:dyDescent="0.3">
      <c r="A79">
        <v>34021</v>
      </c>
      <c r="B79" t="s">
        <v>380</v>
      </c>
      <c r="C79" t="s">
        <v>381</v>
      </c>
      <c r="D79" t="s">
        <v>607</v>
      </c>
      <c r="E79" t="s">
        <v>608</v>
      </c>
      <c r="F79">
        <v>3</v>
      </c>
      <c r="G79" t="s">
        <v>213</v>
      </c>
      <c r="H79">
        <v>1</v>
      </c>
      <c r="I79">
        <v>8</v>
      </c>
      <c r="J79">
        <v>5</v>
      </c>
      <c r="K79">
        <v>0</v>
      </c>
      <c r="L79">
        <v>1150</v>
      </c>
      <c r="M79">
        <v>0</v>
      </c>
      <c r="N79">
        <v>0</v>
      </c>
      <c r="O79" t="s">
        <v>214</v>
      </c>
      <c r="P79">
        <v>0</v>
      </c>
      <c r="Q79" t="s">
        <v>457</v>
      </c>
      <c r="R79" t="s">
        <v>458</v>
      </c>
      <c r="S79" t="s">
        <v>459</v>
      </c>
      <c r="T79" t="s">
        <v>460</v>
      </c>
      <c r="U79" t="s">
        <v>461</v>
      </c>
      <c r="V79" t="b">
        <v>0</v>
      </c>
      <c r="W79">
        <v>375000</v>
      </c>
      <c r="X79">
        <v>0</v>
      </c>
      <c r="Y79" t="s">
        <v>42</v>
      </c>
      <c r="Z79">
        <v>0</v>
      </c>
      <c r="AA79" t="s">
        <v>341</v>
      </c>
      <c r="AB79" t="s">
        <v>42</v>
      </c>
      <c r="AC79" t="s">
        <v>42</v>
      </c>
      <c r="AD79" t="s">
        <v>42</v>
      </c>
    </row>
    <row r="80" spans="1:30" x14ac:dyDescent="0.3">
      <c r="A80">
        <v>34022</v>
      </c>
      <c r="B80" t="s">
        <v>382</v>
      </c>
      <c r="C80" t="s">
        <v>383</v>
      </c>
      <c r="D80" t="s">
        <v>609</v>
      </c>
      <c r="E80" t="s">
        <v>610</v>
      </c>
      <c r="F80">
        <v>3</v>
      </c>
      <c r="G80" t="s">
        <v>213</v>
      </c>
      <c r="H80">
        <v>1</v>
      </c>
      <c r="I80">
        <v>5</v>
      </c>
      <c r="J80">
        <v>7</v>
      </c>
      <c r="K80">
        <v>0</v>
      </c>
      <c r="L80">
        <v>1400</v>
      </c>
      <c r="M80">
        <v>0</v>
      </c>
      <c r="N80">
        <v>0</v>
      </c>
      <c r="O80" t="s">
        <v>214</v>
      </c>
      <c r="P80">
        <v>0</v>
      </c>
      <c r="V80" t="b">
        <v>0</v>
      </c>
      <c r="W80">
        <v>187500</v>
      </c>
      <c r="X80">
        <v>0</v>
      </c>
      <c r="Y80" t="s">
        <v>42</v>
      </c>
      <c r="Z80">
        <v>0</v>
      </c>
      <c r="AA80" t="s">
        <v>573</v>
      </c>
      <c r="AB80" t="s">
        <v>42</v>
      </c>
      <c r="AC80" t="s">
        <v>42</v>
      </c>
      <c r="AD80" t="s">
        <v>42</v>
      </c>
    </row>
    <row r="81" spans="1:30" x14ac:dyDescent="0.3">
      <c r="A81">
        <v>34023</v>
      </c>
      <c r="B81" t="s">
        <v>384</v>
      </c>
      <c r="C81" t="s">
        <v>385</v>
      </c>
      <c r="D81" t="s">
        <v>611</v>
      </c>
      <c r="E81" t="s">
        <v>612</v>
      </c>
      <c r="F81">
        <v>3</v>
      </c>
      <c r="G81" t="s">
        <v>213</v>
      </c>
      <c r="H81">
        <v>1</v>
      </c>
      <c r="I81">
        <v>5</v>
      </c>
      <c r="J81">
        <v>8</v>
      </c>
      <c r="K81">
        <v>0</v>
      </c>
      <c r="L81">
        <v>1400</v>
      </c>
      <c r="M81">
        <v>0</v>
      </c>
      <c r="N81">
        <v>0</v>
      </c>
      <c r="O81" t="s">
        <v>214</v>
      </c>
      <c r="P81">
        <v>0</v>
      </c>
      <c r="V81" t="b">
        <v>0</v>
      </c>
      <c r="W81">
        <v>281250</v>
      </c>
      <c r="X81">
        <v>0</v>
      </c>
      <c r="Y81" t="s">
        <v>42</v>
      </c>
      <c r="Z81">
        <v>0</v>
      </c>
      <c r="AA81" t="s">
        <v>346</v>
      </c>
      <c r="AB81" t="s">
        <v>42</v>
      </c>
      <c r="AC81" t="s">
        <v>42</v>
      </c>
      <c r="AD81" t="s">
        <v>42</v>
      </c>
    </row>
    <row r="82" spans="1:30" x14ac:dyDescent="0.3">
      <c r="A82">
        <v>34024</v>
      </c>
      <c r="B82" t="s">
        <v>386</v>
      </c>
      <c r="C82" t="s">
        <v>387</v>
      </c>
      <c r="D82" t="s">
        <v>613</v>
      </c>
      <c r="E82" t="s">
        <v>614</v>
      </c>
      <c r="F82">
        <v>3</v>
      </c>
      <c r="G82" t="s">
        <v>213</v>
      </c>
      <c r="H82">
        <v>1</v>
      </c>
      <c r="I82">
        <v>5</v>
      </c>
      <c r="J82">
        <v>8</v>
      </c>
      <c r="K82">
        <v>0</v>
      </c>
      <c r="L82">
        <v>1350</v>
      </c>
      <c r="M82">
        <v>0</v>
      </c>
      <c r="N82">
        <v>0</v>
      </c>
      <c r="O82" t="s">
        <v>214</v>
      </c>
      <c r="P82">
        <v>0</v>
      </c>
      <c r="Q82" t="s">
        <v>457</v>
      </c>
      <c r="R82" t="s">
        <v>458</v>
      </c>
      <c r="S82" t="s">
        <v>459</v>
      </c>
      <c r="T82" t="s">
        <v>460</v>
      </c>
      <c r="U82" t="s">
        <v>461</v>
      </c>
      <c r="V82" t="b">
        <v>0</v>
      </c>
      <c r="W82">
        <v>375000</v>
      </c>
      <c r="X82">
        <v>0</v>
      </c>
      <c r="Y82" t="s">
        <v>42</v>
      </c>
      <c r="Z82">
        <v>0</v>
      </c>
      <c r="AA82" t="s">
        <v>349</v>
      </c>
      <c r="AB82" t="s">
        <v>42</v>
      </c>
      <c r="AC82" t="s">
        <v>42</v>
      </c>
      <c r="AD82" t="s">
        <v>42</v>
      </c>
    </row>
    <row r="83" spans="1:30" x14ac:dyDescent="0.3">
      <c r="A83">
        <v>34025</v>
      </c>
      <c r="B83" t="s">
        <v>388</v>
      </c>
      <c r="C83" t="s">
        <v>389</v>
      </c>
      <c r="D83" t="s">
        <v>615</v>
      </c>
      <c r="E83" t="s">
        <v>616</v>
      </c>
      <c r="F83">
        <v>3</v>
      </c>
      <c r="G83" t="s">
        <v>213</v>
      </c>
      <c r="H83">
        <v>1</v>
      </c>
      <c r="I83">
        <v>5</v>
      </c>
      <c r="J83">
        <v>3</v>
      </c>
      <c r="K83">
        <v>0</v>
      </c>
      <c r="L83">
        <v>900</v>
      </c>
      <c r="M83">
        <v>0</v>
      </c>
      <c r="N83">
        <v>0</v>
      </c>
      <c r="O83" t="s">
        <v>214</v>
      </c>
      <c r="P83">
        <v>0</v>
      </c>
      <c r="V83" t="b">
        <v>0</v>
      </c>
      <c r="W83">
        <v>187500</v>
      </c>
      <c r="X83">
        <v>0</v>
      </c>
      <c r="Y83" t="s">
        <v>42</v>
      </c>
      <c r="Z83">
        <v>0</v>
      </c>
      <c r="AA83" t="s">
        <v>580</v>
      </c>
      <c r="AB83" t="s">
        <v>42</v>
      </c>
      <c r="AC83" t="s">
        <v>42</v>
      </c>
      <c r="AD83" t="s">
        <v>42</v>
      </c>
    </row>
    <row r="84" spans="1:30" x14ac:dyDescent="0.3">
      <c r="A84">
        <v>34026</v>
      </c>
      <c r="B84" t="s">
        <v>390</v>
      </c>
      <c r="C84" t="s">
        <v>391</v>
      </c>
      <c r="D84" t="s">
        <v>617</v>
      </c>
      <c r="E84" t="s">
        <v>618</v>
      </c>
      <c r="F84">
        <v>3</v>
      </c>
      <c r="G84" t="s">
        <v>213</v>
      </c>
      <c r="H84">
        <v>1</v>
      </c>
      <c r="I84">
        <v>5</v>
      </c>
      <c r="J84">
        <v>3</v>
      </c>
      <c r="K84">
        <v>0</v>
      </c>
      <c r="L84">
        <v>800</v>
      </c>
      <c r="M84">
        <v>0</v>
      </c>
      <c r="N84">
        <v>0</v>
      </c>
      <c r="O84" t="s">
        <v>214</v>
      </c>
      <c r="P84">
        <v>0</v>
      </c>
      <c r="V84" t="b">
        <v>0</v>
      </c>
      <c r="W84">
        <v>281250</v>
      </c>
      <c r="X84">
        <v>0</v>
      </c>
      <c r="Y84" t="s">
        <v>42</v>
      </c>
      <c r="Z84">
        <v>0</v>
      </c>
      <c r="AA84" t="s">
        <v>354</v>
      </c>
      <c r="AB84" t="s">
        <v>42</v>
      </c>
      <c r="AC84" t="s">
        <v>42</v>
      </c>
      <c r="AD84" t="s">
        <v>42</v>
      </c>
    </row>
    <row r="85" spans="1:30" x14ac:dyDescent="0.3">
      <c r="A85">
        <v>34027</v>
      </c>
      <c r="B85" t="s">
        <v>392</v>
      </c>
      <c r="C85" t="s">
        <v>393</v>
      </c>
      <c r="D85" t="s">
        <v>619</v>
      </c>
      <c r="E85" t="s">
        <v>620</v>
      </c>
      <c r="F85">
        <v>3</v>
      </c>
      <c r="G85" t="s">
        <v>213</v>
      </c>
      <c r="H85">
        <v>1</v>
      </c>
      <c r="I85">
        <v>5</v>
      </c>
      <c r="J85">
        <v>3</v>
      </c>
      <c r="K85">
        <v>0</v>
      </c>
      <c r="L85">
        <v>750</v>
      </c>
      <c r="M85">
        <v>0</v>
      </c>
      <c r="N85">
        <v>0</v>
      </c>
      <c r="O85" t="s">
        <v>214</v>
      </c>
      <c r="P85">
        <v>0</v>
      </c>
      <c r="Q85" t="s">
        <v>457</v>
      </c>
      <c r="R85" t="s">
        <v>458</v>
      </c>
      <c r="S85" t="s">
        <v>459</v>
      </c>
      <c r="T85" t="s">
        <v>460</v>
      </c>
      <c r="U85" t="s">
        <v>461</v>
      </c>
      <c r="V85" t="b">
        <v>0</v>
      </c>
      <c r="W85">
        <v>375000</v>
      </c>
      <c r="X85">
        <v>0</v>
      </c>
      <c r="Y85" t="s">
        <v>42</v>
      </c>
      <c r="Z85">
        <v>0</v>
      </c>
      <c r="AA85" t="s">
        <v>357</v>
      </c>
      <c r="AB85" t="s">
        <v>42</v>
      </c>
      <c r="AC85" t="s">
        <v>42</v>
      </c>
      <c r="AD85" t="s">
        <v>42</v>
      </c>
    </row>
    <row r="86" spans="1:30" x14ac:dyDescent="0.3">
      <c r="A86">
        <v>34028</v>
      </c>
      <c r="B86" t="s">
        <v>394</v>
      </c>
      <c r="C86" t="s">
        <v>395</v>
      </c>
      <c r="D86" t="s">
        <v>621</v>
      </c>
      <c r="E86" t="s">
        <v>622</v>
      </c>
      <c r="F86">
        <v>4</v>
      </c>
      <c r="G86" t="s">
        <v>213</v>
      </c>
      <c r="H86">
        <v>1</v>
      </c>
      <c r="I86">
        <v>9</v>
      </c>
      <c r="J86">
        <v>6</v>
      </c>
      <c r="K86">
        <v>0</v>
      </c>
      <c r="L86">
        <v>1200</v>
      </c>
      <c r="M86">
        <v>0</v>
      </c>
      <c r="N86">
        <v>0</v>
      </c>
      <c r="O86" t="s">
        <v>214</v>
      </c>
      <c r="P86">
        <v>0</v>
      </c>
      <c r="V86" t="b">
        <v>0</v>
      </c>
      <c r="W86">
        <v>937500</v>
      </c>
      <c r="X86">
        <v>0</v>
      </c>
      <c r="Y86" t="s">
        <v>42</v>
      </c>
      <c r="Z86">
        <v>0</v>
      </c>
      <c r="AA86" t="s">
        <v>335</v>
      </c>
      <c r="AB86" t="s">
        <v>42</v>
      </c>
      <c r="AC86" t="s">
        <v>42</v>
      </c>
      <c r="AD86" t="s">
        <v>42</v>
      </c>
    </row>
    <row r="87" spans="1:30" x14ac:dyDescent="0.3">
      <c r="A87">
        <v>34029</v>
      </c>
      <c r="B87" t="s">
        <v>396</v>
      </c>
      <c r="C87" t="s">
        <v>397</v>
      </c>
      <c r="D87" t="s">
        <v>623</v>
      </c>
      <c r="E87" t="s">
        <v>624</v>
      </c>
      <c r="F87">
        <v>4</v>
      </c>
      <c r="G87" t="s">
        <v>213</v>
      </c>
      <c r="H87">
        <v>1</v>
      </c>
      <c r="I87">
        <v>10</v>
      </c>
      <c r="J87">
        <v>6</v>
      </c>
      <c r="K87">
        <v>0</v>
      </c>
      <c r="L87">
        <v>1200</v>
      </c>
      <c r="M87">
        <v>0</v>
      </c>
      <c r="N87">
        <v>0</v>
      </c>
      <c r="O87" t="s">
        <v>214</v>
      </c>
      <c r="P87">
        <v>0</v>
      </c>
      <c r="V87" t="b">
        <v>0</v>
      </c>
      <c r="W87">
        <v>1406250</v>
      </c>
      <c r="X87">
        <v>0</v>
      </c>
      <c r="Y87" t="s">
        <v>42</v>
      </c>
      <c r="Z87">
        <v>0</v>
      </c>
      <c r="AA87" t="s">
        <v>338</v>
      </c>
      <c r="AB87" t="s">
        <v>42</v>
      </c>
      <c r="AC87" t="s">
        <v>42</v>
      </c>
      <c r="AD87" t="s">
        <v>42</v>
      </c>
    </row>
    <row r="88" spans="1:30" x14ac:dyDescent="0.3">
      <c r="A88">
        <v>34030</v>
      </c>
      <c r="B88" t="s">
        <v>398</v>
      </c>
      <c r="C88" t="s">
        <v>399</v>
      </c>
      <c r="D88" t="s">
        <v>625</v>
      </c>
      <c r="E88" t="s">
        <v>626</v>
      </c>
      <c r="F88">
        <v>4</v>
      </c>
      <c r="G88" t="s">
        <v>213</v>
      </c>
      <c r="H88">
        <v>1</v>
      </c>
      <c r="I88">
        <v>10</v>
      </c>
      <c r="J88">
        <v>6</v>
      </c>
      <c r="K88">
        <v>0</v>
      </c>
      <c r="L88">
        <v>1150</v>
      </c>
      <c r="M88">
        <v>0</v>
      </c>
      <c r="N88">
        <v>0</v>
      </c>
      <c r="O88" t="s">
        <v>214</v>
      </c>
      <c r="P88">
        <v>0</v>
      </c>
      <c r="Q88" t="s">
        <v>457</v>
      </c>
      <c r="R88" t="s">
        <v>458</v>
      </c>
      <c r="S88" t="s">
        <v>459</v>
      </c>
      <c r="T88" t="s">
        <v>460</v>
      </c>
      <c r="U88" t="s">
        <v>461</v>
      </c>
      <c r="V88" t="b">
        <v>0</v>
      </c>
      <c r="W88">
        <v>1875000</v>
      </c>
      <c r="X88">
        <v>0</v>
      </c>
      <c r="Y88" t="s">
        <v>42</v>
      </c>
      <c r="Z88">
        <v>0</v>
      </c>
      <c r="AA88" t="s">
        <v>341</v>
      </c>
      <c r="AB88" t="s">
        <v>42</v>
      </c>
      <c r="AC88" t="s">
        <v>42</v>
      </c>
      <c r="AD88" t="s">
        <v>42</v>
      </c>
    </row>
    <row r="89" spans="1:30" x14ac:dyDescent="0.3">
      <c r="A89">
        <v>34031</v>
      </c>
      <c r="B89" t="s">
        <v>400</v>
      </c>
      <c r="C89" t="s">
        <v>401</v>
      </c>
      <c r="D89" t="s">
        <v>627</v>
      </c>
      <c r="E89" t="s">
        <v>628</v>
      </c>
      <c r="F89">
        <v>4</v>
      </c>
      <c r="G89" t="s">
        <v>213</v>
      </c>
      <c r="H89">
        <v>1</v>
      </c>
      <c r="I89">
        <v>6</v>
      </c>
      <c r="J89">
        <v>9</v>
      </c>
      <c r="K89">
        <v>0</v>
      </c>
      <c r="L89">
        <v>1400</v>
      </c>
      <c r="M89">
        <v>0</v>
      </c>
      <c r="N89">
        <v>0</v>
      </c>
      <c r="O89" t="s">
        <v>214</v>
      </c>
      <c r="P89">
        <v>0</v>
      </c>
      <c r="V89" t="b">
        <v>0</v>
      </c>
      <c r="W89">
        <v>937500</v>
      </c>
      <c r="X89">
        <v>0</v>
      </c>
      <c r="Y89" t="s">
        <v>42</v>
      </c>
      <c r="Z89">
        <v>0</v>
      </c>
      <c r="AA89" t="s">
        <v>573</v>
      </c>
      <c r="AB89" t="s">
        <v>42</v>
      </c>
      <c r="AC89" t="s">
        <v>42</v>
      </c>
      <c r="AD89" t="s">
        <v>42</v>
      </c>
    </row>
    <row r="90" spans="1:30" x14ac:dyDescent="0.3">
      <c r="A90">
        <v>34032</v>
      </c>
      <c r="B90" t="s">
        <v>402</v>
      </c>
      <c r="C90" t="s">
        <v>403</v>
      </c>
      <c r="D90" t="s">
        <v>629</v>
      </c>
      <c r="E90" t="s">
        <v>630</v>
      </c>
      <c r="F90">
        <v>4</v>
      </c>
      <c r="G90" t="s">
        <v>213</v>
      </c>
      <c r="H90">
        <v>1</v>
      </c>
      <c r="I90">
        <v>6</v>
      </c>
      <c r="J90">
        <v>10</v>
      </c>
      <c r="K90">
        <v>0</v>
      </c>
      <c r="L90">
        <v>1400</v>
      </c>
      <c r="M90">
        <v>0</v>
      </c>
      <c r="N90">
        <v>0</v>
      </c>
      <c r="O90" t="s">
        <v>214</v>
      </c>
      <c r="P90">
        <v>0</v>
      </c>
      <c r="V90" t="b">
        <v>0</v>
      </c>
      <c r="W90">
        <v>1406250</v>
      </c>
      <c r="X90">
        <v>0</v>
      </c>
      <c r="Y90" t="s">
        <v>42</v>
      </c>
      <c r="Z90">
        <v>0</v>
      </c>
      <c r="AA90" t="s">
        <v>346</v>
      </c>
      <c r="AB90" t="s">
        <v>42</v>
      </c>
      <c r="AC90" t="s">
        <v>42</v>
      </c>
      <c r="AD90" t="s">
        <v>42</v>
      </c>
    </row>
    <row r="91" spans="1:30" x14ac:dyDescent="0.3">
      <c r="A91">
        <v>34033</v>
      </c>
      <c r="B91" t="s">
        <v>404</v>
      </c>
      <c r="C91" t="s">
        <v>405</v>
      </c>
      <c r="D91" t="s">
        <v>631</v>
      </c>
      <c r="E91" t="s">
        <v>632</v>
      </c>
      <c r="F91">
        <v>4</v>
      </c>
      <c r="G91" t="s">
        <v>213</v>
      </c>
      <c r="H91">
        <v>1</v>
      </c>
      <c r="I91">
        <v>6</v>
      </c>
      <c r="J91">
        <v>10</v>
      </c>
      <c r="K91">
        <v>0</v>
      </c>
      <c r="L91">
        <v>1350</v>
      </c>
      <c r="M91">
        <v>0</v>
      </c>
      <c r="N91">
        <v>0</v>
      </c>
      <c r="O91" t="s">
        <v>214</v>
      </c>
      <c r="P91">
        <v>0</v>
      </c>
      <c r="Q91" t="s">
        <v>457</v>
      </c>
      <c r="R91" t="s">
        <v>458</v>
      </c>
      <c r="S91" t="s">
        <v>459</v>
      </c>
      <c r="T91" t="s">
        <v>460</v>
      </c>
      <c r="U91" t="s">
        <v>461</v>
      </c>
      <c r="V91" t="b">
        <v>0</v>
      </c>
      <c r="W91">
        <v>1875000</v>
      </c>
      <c r="X91">
        <v>0</v>
      </c>
      <c r="Y91" t="s">
        <v>42</v>
      </c>
      <c r="Z91">
        <v>0</v>
      </c>
      <c r="AA91" t="s">
        <v>349</v>
      </c>
      <c r="AB91" t="s">
        <v>42</v>
      </c>
      <c r="AC91" t="s">
        <v>42</v>
      </c>
      <c r="AD91" t="s">
        <v>42</v>
      </c>
    </row>
    <row r="92" spans="1:30" x14ac:dyDescent="0.3">
      <c r="A92">
        <v>34034</v>
      </c>
      <c r="B92" t="s">
        <v>406</v>
      </c>
      <c r="C92" t="s">
        <v>407</v>
      </c>
      <c r="D92" t="s">
        <v>633</v>
      </c>
      <c r="E92" t="s">
        <v>634</v>
      </c>
      <c r="F92">
        <v>4</v>
      </c>
      <c r="G92" t="s">
        <v>213</v>
      </c>
      <c r="H92">
        <v>1</v>
      </c>
      <c r="I92">
        <v>6</v>
      </c>
      <c r="J92">
        <v>4</v>
      </c>
      <c r="K92">
        <v>0</v>
      </c>
      <c r="L92">
        <v>900</v>
      </c>
      <c r="M92">
        <v>0</v>
      </c>
      <c r="N92">
        <v>0</v>
      </c>
      <c r="O92" t="s">
        <v>214</v>
      </c>
      <c r="P92">
        <v>0</v>
      </c>
      <c r="V92" t="b">
        <v>0</v>
      </c>
      <c r="W92">
        <v>937500</v>
      </c>
      <c r="X92">
        <v>0</v>
      </c>
      <c r="Y92" t="s">
        <v>42</v>
      </c>
      <c r="Z92">
        <v>0</v>
      </c>
      <c r="AA92" t="s">
        <v>580</v>
      </c>
      <c r="AB92" t="s">
        <v>42</v>
      </c>
      <c r="AC92" t="s">
        <v>42</v>
      </c>
      <c r="AD92" t="s">
        <v>42</v>
      </c>
    </row>
    <row r="93" spans="1:30" x14ac:dyDescent="0.3">
      <c r="A93">
        <v>34035</v>
      </c>
      <c r="B93" t="s">
        <v>408</v>
      </c>
      <c r="C93" t="s">
        <v>409</v>
      </c>
      <c r="D93" t="s">
        <v>635</v>
      </c>
      <c r="E93" t="s">
        <v>636</v>
      </c>
      <c r="F93">
        <v>4</v>
      </c>
      <c r="G93" t="s">
        <v>213</v>
      </c>
      <c r="H93">
        <v>1</v>
      </c>
      <c r="I93">
        <v>6</v>
      </c>
      <c r="J93">
        <v>4</v>
      </c>
      <c r="K93">
        <v>0</v>
      </c>
      <c r="L93">
        <v>800</v>
      </c>
      <c r="M93">
        <v>0</v>
      </c>
      <c r="N93">
        <v>0</v>
      </c>
      <c r="O93" t="s">
        <v>214</v>
      </c>
      <c r="P93">
        <v>0</v>
      </c>
      <c r="V93" t="b">
        <v>0</v>
      </c>
      <c r="W93">
        <v>1406250</v>
      </c>
      <c r="X93">
        <v>0</v>
      </c>
      <c r="Y93" t="s">
        <v>42</v>
      </c>
      <c r="Z93">
        <v>0</v>
      </c>
      <c r="AA93" t="s">
        <v>354</v>
      </c>
      <c r="AB93" t="s">
        <v>42</v>
      </c>
      <c r="AC93" t="s">
        <v>42</v>
      </c>
      <c r="AD93" t="s">
        <v>42</v>
      </c>
    </row>
    <row r="94" spans="1:30" x14ac:dyDescent="0.3">
      <c r="A94">
        <v>34036</v>
      </c>
      <c r="B94" t="s">
        <v>410</v>
      </c>
      <c r="C94" t="s">
        <v>411</v>
      </c>
      <c r="D94" t="s">
        <v>637</v>
      </c>
      <c r="E94" t="s">
        <v>638</v>
      </c>
      <c r="F94">
        <v>4</v>
      </c>
      <c r="G94" t="s">
        <v>213</v>
      </c>
      <c r="H94">
        <v>1</v>
      </c>
      <c r="I94">
        <v>6</v>
      </c>
      <c r="J94">
        <v>4</v>
      </c>
      <c r="K94">
        <v>0</v>
      </c>
      <c r="L94">
        <v>750</v>
      </c>
      <c r="M94">
        <v>0</v>
      </c>
      <c r="N94">
        <v>0</v>
      </c>
      <c r="O94" t="s">
        <v>214</v>
      </c>
      <c r="P94">
        <v>0</v>
      </c>
      <c r="Q94" t="s">
        <v>457</v>
      </c>
      <c r="R94" t="s">
        <v>458</v>
      </c>
      <c r="S94" t="s">
        <v>459</v>
      </c>
      <c r="T94" t="s">
        <v>460</v>
      </c>
      <c r="U94" t="s">
        <v>461</v>
      </c>
      <c r="V94" t="b">
        <v>0</v>
      </c>
      <c r="W94">
        <v>1875000</v>
      </c>
      <c r="X94">
        <v>0</v>
      </c>
      <c r="Y94" t="s">
        <v>42</v>
      </c>
      <c r="Z94">
        <v>0</v>
      </c>
      <c r="AA94" t="s">
        <v>357</v>
      </c>
      <c r="AB94" t="s">
        <v>42</v>
      </c>
      <c r="AC94" t="s">
        <v>42</v>
      </c>
      <c r="AD94" t="s">
        <v>42</v>
      </c>
    </row>
    <row r="95" spans="1:30" x14ac:dyDescent="0.3">
      <c r="A95">
        <v>35000</v>
      </c>
      <c r="B95" t="s">
        <v>639</v>
      </c>
      <c r="C95" t="s">
        <v>640</v>
      </c>
      <c r="D95" t="s">
        <v>641</v>
      </c>
      <c r="E95" t="s">
        <v>642</v>
      </c>
      <c r="F95">
        <v>0</v>
      </c>
      <c r="G95" t="s">
        <v>412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214</v>
      </c>
      <c r="P95">
        <v>0</v>
      </c>
      <c r="V95" t="b">
        <v>1</v>
      </c>
      <c r="W95">
        <v>100000</v>
      </c>
      <c r="X95">
        <v>2</v>
      </c>
      <c r="Y95" t="s">
        <v>42</v>
      </c>
      <c r="Z95">
        <v>0</v>
      </c>
      <c r="AA95" t="s">
        <v>643</v>
      </c>
      <c r="AB95" t="s">
        <v>644</v>
      </c>
      <c r="AC95" t="s">
        <v>645</v>
      </c>
      <c r="AD95" t="s">
        <v>646</v>
      </c>
    </row>
    <row r="96" spans="1:30" x14ac:dyDescent="0.3">
      <c r="A96">
        <v>36000</v>
      </c>
      <c r="B96" t="s">
        <v>647</v>
      </c>
      <c r="C96" t="s">
        <v>648</v>
      </c>
      <c r="D96" t="s">
        <v>649</v>
      </c>
      <c r="E96" t="s">
        <v>650</v>
      </c>
      <c r="F96">
        <v>0</v>
      </c>
      <c r="G96" t="s">
        <v>413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214</v>
      </c>
      <c r="P96">
        <v>0</v>
      </c>
      <c r="Q96" t="s">
        <v>42</v>
      </c>
      <c r="T96" t="s">
        <v>42</v>
      </c>
      <c r="U96" t="s">
        <v>42</v>
      </c>
      <c r="V96" t="b">
        <v>1</v>
      </c>
      <c r="W96">
        <v>1000</v>
      </c>
      <c r="X96">
        <v>0</v>
      </c>
      <c r="Y96" t="s">
        <v>42</v>
      </c>
      <c r="Z96">
        <v>0</v>
      </c>
      <c r="AA96" t="s">
        <v>651</v>
      </c>
      <c r="AB96" t="s">
        <v>42</v>
      </c>
      <c r="AC96" t="s">
        <v>42</v>
      </c>
      <c r="AD96" t="s">
        <v>42</v>
      </c>
    </row>
    <row r="97" spans="1:30" x14ac:dyDescent="0.3">
      <c r="A97">
        <v>36001</v>
      </c>
      <c r="B97" t="s">
        <v>652</v>
      </c>
      <c r="C97" t="s">
        <v>414</v>
      </c>
      <c r="D97" t="s">
        <v>653</v>
      </c>
      <c r="E97" t="s">
        <v>654</v>
      </c>
      <c r="F97">
        <v>0</v>
      </c>
      <c r="G97" t="s">
        <v>413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214</v>
      </c>
      <c r="P97">
        <v>0</v>
      </c>
      <c r="Q97" t="s">
        <v>42</v>
      </c>
      <c r="T97" t="s">
        <v>42</v>
      </c>
      <c r="U97" t="s">
        <v>42</v>
      </c>
      <c r="V97" t="b">
        <v>1</v>
      </c>
      <c r="W97">
        <v>5000</v>
      </c>
      <c r="X97">
        <v>0</v>
      </c>
      <c r="Y97" t="s">
        <v>42</v>
      </c>
      <c r="Z97">
        <v>0</v>
      </c>
      <c r="AA97" t="s">
        <v>655</v>
      </c>
      <c r="AB97" t="s">
        <v>42</v>
      </c>
      <c r="AC97" t="s">
        <v>42</v>
      </c>
      <c r="AD97" t="s">
        <v>42</v>
      </c>
    </row>
    <row r="98" spans="1:30" x14ac:dyDescent="0.3">
      <c r="A98">
        <v>38000</v>
      </c>
      <c r="B98" t="s">
        <v>656</v>
      </c>
      <c r="C98" t="s">
        <v>657</v>
      </c>
      <c r="D98" t="s">
        <v>658</v>
      </c>
      <c r="E98" t="s">
        <v>659</v>
      </c>
      <c r="F98">
        <v>0</v>
      </c>
      <c r="G98" t="s">
        <v>415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214</v>
      </c>
      <c r="P98">
        <v>0</v>
      </c>
      <c r="Q98" t="s">
        <v>42</v>
      </c>
      <c r="T98" t="s">
        <v>42</v>
      </c>
      <c r="U98" t="s">
        <v>42</v>
      </c>
      <c r="V98" t="b">
        <v>1</v>
      </c>
      <c r="W98">
        <v>10</v>
      </c>
      <c r="X98">
        <v>0</v>
      </c>
      <c r="Y98" t="s">
        <v>42</v>
      </c>
      <c r="Z98">
        <v>0</v>
      </c>
      <c r="AA98" t="s">
        <v>643</v>
      </c>
      <c r="AB98" t="s">
        <v>42</v>
      </c>
      <c r="AC98" t="s">
        <v>42</v>
      </c>
      <c r="AD98" t="s">
        <v>42</v>
      </c>
    </row>
    <row r="99" spans="1:30" x14ac:dyDescent="0.3">
      <c r="A99">
        <v>38500</v>
      </c>
      <c r="B99" t="s">
        <v>660</v>
      </c>
      <c r="C99" t="s">
        <v>661</v>
      </c>
      <c r="D99" t="s">
        <v>662</v>
      </c>
      <c r="E99" t="s">
        <v>663</v>
      </c>
      <c r="F99">
        <v>0</v>
      </c>
      <c r="G99" t="s">
        <v>416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214</v>
      </c>
      <c r="P99">
        <v>0</v>
      </c>
      <c r="Q99" t="s">
        <v>42</v>
      </c>
      <c r="T99" t="s">
        <v>42</v>
      </c>
      <c r="U99" t="s">
        <v>42</v>
      </c>
      <c r="V99" t="b">
        <v>1</v>
      </c>
      <c r="W99">
        <v>10</v>
      </c>
      <c r="X99">
        <v>0</v>
      </c>
      <c r="Y99" t="s">
        <v>42</v>
      </c>
      <c r="Z99">
        <v>0</v>
      </c>
      <c r="AA99" t="s">
        <v>643</v>
      </c>
      <c r="AB99" t="s">
        <v>42</v>
      </c>
      <c r="AC99" t="s">
        <v>42</v>
      </c>
      <c r="AD99" t="s">
        <v>42</v>
      </c>
    </row>
    <row r="100" spans="1:30" x14ac:dyDescent="0.3">
      <c r="A100">
        <v>39000</v>
      </c>
      <c r="B100" t="s">
        <v>664</v>
      </c>
      <c r="C100" t="s">
        <v>665</v>
      </c>
      <c r="D100" t="s">
        <v>666</v>
      </c>
      <c r="E100" t="s">
        <v>667</v>
      </c>
      <c r="F100">
        <v>0</v>
      </c>
      <c r="G100" t="s">
        <v>202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417</v>
      </c>
      <c r="P100">
        <v>5</v>
      </c>
      <c r="Q100" t="s">
        <v>42</v>
      </c>
      <c r="T100" t="s">
        <v>42</v>
      </c>
      <c r="U100" t="s">
        <v>42</v>
      </c>
      <c r="V100" t="b">
        <v>1</v>
      </c>
      <c r="W100">
        <v>0</v>
      </c>
      <c r="X100">
        <v>150</v>
      </c>
      <c r="Y100" t="s">
        <v>42</v>
      </c>
      <c r="Z100">
        <v>0</v>
      </c>
      <c r="AA100" t="s">
        <v>668</v>
      </c>
      <c r="AB100" t="s">
        <v>42</v>
      </c>
      <c r="AC100" t="s">
        <v>42</v>
      </c>
      <c r="AD100" t="s">
        <v>42</v>
      </c>
    </row>
    <row r="101" spans="1:30" x14ac:dyDescent="0.3">
      <c r="A101">
        <v>39001</v>
      </c>
      <c r="B101" t="s">
        <v>669</v>
      </c>
      <c r="C101" t="s">
        <v>670</v>
      </c>
      <c r="D101" t="s">
        <v>671</v>
      </c>
      <c r="E101" t="s">
        <v>672</v>
      </c>
      <c r="F101">
        <v>0</v>
      </c>
      <c r="G101" t="s">
        <v>202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418</v>
      </c>
      <c r="P101">
        <v>1</v>
      </c>
      <c r="Q101" t="s">
        <v>42</v>
      </c>
      <c r="T101" t="s">
        <v>42</v>
      </c>
      <c r="U101" t="s">
        <v>42</v>
      </c>
      <c r="V101" t="b">
        <v>1</v>
      </c>
      <c r="W101">
        <v>0</v>
      </c>
      <c r="X101">
        <v>150</v>
      </c>
      <c r="Y101" t="s">
        <v>42</v>
      </c>
      <c r="Z101">
        <v>0</v>
      </c>
      <c r="AA101" t="s">
        <v>419</v>
      </c>
      <c r="AB101" t="s">
        <v>42</v>
      </c>
      <c r="AC101" t="s">
        <v>42</v>
      </c>
      <c r="AD101" t="s">
        <v>42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workbookViewId="0">
      <selection activeCell="J69" sqref="J69"/>
    </sheetView>
  </sheetViews>
  <sheetFormatPr defaultRowHeight="16.5" x14ac:dyDescent="0.3"/>
  <sheetData>
    <row r="1" spans="1:22" x14ac:dyDescent="0.3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1032</v>
      </c>
      <c r="G1" t="s">
        <v>142</v>
      </c>
      <c r="H1" t="s">
        <v>420</v>
      </c>
      <c r="I1" t="s">
        <v>782</v>
      </c>
      <c r="J1" t="s">
        <v>783</v>
      </c>
      <c r="K1" t="s">
        <v>425</v>
      </c>
      <c r="L1" t="s">
        <v>37</v>
      </c>
      <c r="M1" t="s">
        <v>784</v>
      </c>
      <c r="N1" t="s">
        <v>785</v>
      </c>
      <c r="O1" t="s">
        <v>145</v>
      </c>
      <c r="P1" t="s">
        <v>786</v>
      </c>
      <c r="Q1" t="s">
        <v>787</v>
      </c>
      <c r="R1" t="s">
        <v>428</v>
      </c>
      <c r="S1" t="s">
        <v>200</v>
      </c>
      <c r="T1" t="s">
        <v>201</v>
      </c>
      <c r="U1" t="s">
        <v>788</v>
      </c>
      <c r="V1" t="s">
        <v>699</v>
      </c>
    </row>
    <row r="2" spans="1:22" x14ac:dyDescent="0.3">
      <c r="A2">
        <v>50000</v>
      </c>
      <c r="B2" t="s">
        <v>700</v>
      </c>
      <c r="C2" t="s">
        <v>789</v>
      </c>
      <c r="D2" t="s">
        <v>790</v>
      </c>
      <c r="E2" t="s">
        <v>791</v>
      </c>
      <c r="F2">
        <v>1</v>
      </c>
      <c r="G2">
        <v>99</v>
      </c>
      <c r="H2" t="s">
        <v>792</v>
      </c>
      <c r="I2">
        <v>8.8000000000000007</v>
      </c>
      <c r="J2">
        <v>7.8000000000000007</v>
      </c>
      <c r="K2">
        <v>0</v>
      </c>
      <c r="L2" t="s">
        <v>793</v>
      </c>
      <c r="M2" t="s">
        <v>794</v>
      </c>
      <c r="N2" t="s">
        <v>1033</v>
      </c>
      <c r="O2" t="s">
        <v>796</v>
      </c>
      <c r="P2">
        <v>1</v>
      </c>
      <c r="Q2">
        <v>0</v>
      </c>
      <c r="R2" t="s">
        <v>1034</v>
      </c>
      <c r="S2" t="s">
        <v>42</v>
      </c>
      <c r="T2" t="s">
        <v>42</v>
      </c>
    </row>
    <row r="3" spans="1:22" x14ac:dyDescent="0.3">
      <c r="A3">
        <v>50001</v>
      </c>
      <c r="B3" t="s">
        <v>701</v>
      </c>
      <c r="C3" t="s">
        <v>702</v>
      </c>
      <c r="D3" t="s">
        <v>797</v>
      </c>
      <c r="E3" t="s">
        <v>798</v>
      </c>
      <c r="F3">
        <v>1</v>
      </c>
      <c r="G3">
        <v>99</v>
      </c>
      <c r="H3" t="s">
        <v>792</v>
      </c>
      <c r="I3">
        <v>9.2000000000000011</v>
      </c>
      <c r="J3">
        <v>8.2000000000000011</v>
      </c>
      <c r="K3">
        <v>0</v>
      </c>
      <c r="L3" t="s">
        <v>703</v>
      </c>
      <c r="M3" t="s">
        <v>794</v>
      </c>
      <c r="N3" t="s">
        <v>1033</v>
      </c>
      <c r="O3" t="s">
        <v>796</v>
      </c>
      <c r="P3">
        <v>1</v>
      </c>
      <c r="Q3">
        <v>0</v>
      </c>
      <c r="R3" t="s">
        <v>1034</v>
      </c>
      <c r="S3" t="s">
        <v>42</v>
      </c>
      <c r="T3" t="s">
        <v>42</v>
      </c>
    </row>
    <row r="4" spans="1:22" x14ac:dyDescent="0.3">
      <c r="A4">
        <v>50002</v>
      </c>
      <c r="B4" t="s">
        <v>704</v>
      </c>
      <c r="C4" t="s">
        <v>705</v>
      </c>
      <c r="D4" t="s">
        <v>799</v>
      </c>
      <c r="E4" t="s">
        <v>800</v>
      </c>
      <c r="F4">
        <v>1</v>
      </c>
      <c r="G4">
        <v>99</v>
      </c>
      <c r="H4" t="s">
        <v>792</v>
      </c>
      <c r="I4">
        <v>8.8000000000000007</v>
      </c>
      <c r="J4">
        <v>7.8000000000000007</v>
      </c>
      <c r="K4">
        <v>0</v>
      </c>
      <c r="L4" t="s">
        <v>706</v>
      </c>
      <c r="M4" t="s">
        <v>794</v>
      </c>
      <c r="N4" t="s">
        <v>1033</v>
      </c>
      <c r="O4" t="s">
        <v>796</v>
      </c>
      <c r="P4">
        <v>1</v>
      </c>
      <c r="Q4">
        <v>0</v>
      </c>
      <c r="R4" t="s">
        <v>1034</v>
      </c>
      <c r="S4" t="s">
        <v>42</v>
      </c>
      <c r="T4" t="s">
        <v>42</v>
      </c>
    </row>
    <row r="5" spans="1:22" x14ac:dyDescent="0.3">
      <c r="A5">
        <v>50003</v>
      </c>
      <c r="B5" t="s">
        <v>707</v>
      </c>
      <c r="C5" t="s">
        <v>708</v>
      </c>
      <c r="D5" t="s">
        <v>801</v>
      </c>
      <c r="E5" t="s">
        <v>802</v>
      </c>
      <c r="F5">
        <v>1</v>
      </c>
      <c r="G5">
        <v>99</v>
      </c>
      <c r="H5" t="s">
        <v>792</v>
      </c>
      <c r="I5">
        <v>8.8000000000000007</v>
      </c>
      <c r="J5">
        <v>7.8000000000000007</v>
      </c>
      <c r="K5">
        <v>0</v>
      </c>
      <c r="L5" t="s">
        <v>709</v>
      </c>
      <c r="M5" t="s">
        <v>794</v>
      </c>
      <c r="N5" t="s">
        <v>1033</v>
      </c>
      <c r="O5" t="s">
        <v>796</v>
      </c>
      <c r="P5">
        <v>1</v>
      </c>
      <c r="Q5">
        <v>0</v>
      </c>
      <c r="R5" t="s">
        <v>1034</v>
      </c>
      <c r="S5" t="s">
        <v>42</v>
      </c>
      <c r="T5" t="s">
        <v>42</v>
      </c>
    </row>
    <row r="6" spans="1:22" x14ac:dyDescent="0.3">
      <c r="A6">
        <v>50004</v>
      </c>
      <c r="B6" t="s">
        <v>803</v>
      </c>
      <c r="C6" t="s">
        <v>1035</v>
      </c>
      <c r="D6" t="s">
        <v>1036</v>
      </c>
      <c r="E6" t="s">
        <v>1037</v>
      </c>
      <c r="F6">
        <v>2</v>
      </c>
      <c r="G6">
        <v>1</v>
      </c>
      <c r="H6" t="s">
        <v>792</v>
      </c>
      <c r="I6">
        <v>7.2</v>
      </c>
      <c r="J6">
        <v>6.2</v>
      </c>
      <c r="K6">
        <v>0</v>
      </c>
      <c r="L6" t="s">
        <v>711</v>
      </c>
      <c r="M6" t="s">
        <v>806</v>
      </c>
      <c r="N6" t="s">
        <v>1038</v>
      </c>
      <c r="O6" t="s">
        <v>807</v>
      </c>
      <c r="P6">
        <v>1</v>
      </c>
      <c r="Q6">
        <v>0</v>
      </c>
      <c r="R6" t="s">
        <v>1039</v>
      </c>
      <c r="S6" t="s">
        <v>42</v>
      </c>
      <c r="T6" t="s">
        <v>42</v>
      </c>
      <c r="U6" t="s">
        <v>874</v>
      </c>
      <c r="V6" t="s">
        <v>875</v>
      </c>
    </row>
    <row r="7" spans="1:22" x14ac:dyDescent="0.3">
      <c r="A7">
        <v>50005</v>
      </c>
      <c r="B7" t="s">
        <v>808</v>
      </c>
      <c r="C7" t="s">
        <v>876</v>
      </c>
      <c r="D7" t="s">
        <v>1040</v>
      </c>
      <c r="E7" t="s">
        <v>1041</v>
      </c>
      <c r="F7">
        <v>2</v>
      </c>
      <c r="G7">
        <v>1</v>
      </c>
      <c r="H7" t="s">
        <v>792</v>
      </c>
      <c r="I7">
        <v>6.2</v>
      </c>
      <c r="J7">
        <v>5.2</v>
      </c>
      <c r="K7">
        <v>0</v>
      </c>
      <c r="L7" t="s">
        <v>713</v>
      </c>
      <c r="M7" t="s">
        <v>811</v>
      </c>
      <c r="N7" t="s">
        <v>1038</v>
      </c>
      <c r="O7" t="s">
        <v>812</v>
      </c>
      <c r="P7">
        <v>1</v>
      </c>
      <c r="Q7">
        <v>0</v>
      </c>
      <c r="R7" t="s">
        <v>1039</v>
      </c>
      <c r="S7" t="s">
        <v>42</v>
      </c>
      <c r="T7" t="s">
        <v>42</v>
      </c>
      <c r="U7" t="s">
        <v>874</v>
      </c>
      <c r="V7" t="s">
        <v>875</v>
      </c>
    </row>
    <row r="8" spans="1:22" x14ac:dyDescent="0.3">
      <c r="A8">
        <v>50006</v>
      </c>
      <c r="B8" t="s">
        <v>813</v>
      </c>
      <c r="C8" t="s">
        <v>877</v>
      </c>
      <c r="D8" t="s">
        <v>1042</v>
      </c>
      <c r="E8" t="s">
        <v>1043</v>
      </c>
      <c r="F8">
        <v>2</v>
      </c>
      <c r="G8">
        <v>1</v>
      </c>
      <c r="H8" t="s">
        <v>715</v>
      </c>
      <c r="I8">
        <v>9.1</v>
      </c>
      <c r="J8">
        <v>8.1</v>
      </c>
      <c r="K8">
        <v>0</v>
      </c>
      <c r="L8" t="s">
        <v>716</v>
      </c>
      <c r="M8" t="s">
        <v>816</v>
      </c>
      <c r="N8" t="s">
        <v>885</v>
      </c>
      <c r="O8" t="s">
        <v>817</v>
      </c>
      <c r="P8">
        <v>1</v>
      </c>
      <c r="Q8">
        <v>0</v>
      </c>
      <c r="R8" t="s">
        <v>1039</v>
      </c>
      <c r="S8" t="s">
        <v>42</v>
      </c>
      <c r="T8" t="s">
        <v>42</v>
      </c>
      <c r="U8" t="s">
        <v>874</v>
      </c>
      <c r="V8" t="s">
        <v>875</v>
      </c>
    </row>
    <row r="9" spans="1:22" x14ac:dyDescent="0.3">
      <c r="A9">
        <v>50007</v>
      </c>
      <c r="B9" t="s">
        <v>818</v>
      </c>
      <c r="C9" t="s">
        <v>878</v>
      </c>
      <c r="D9" t="s">
        <v>1044</v>
      </c>
      <c r="E9" t="s">
        <v>1045</v>
      </c>
      <c r="F9">
        <v>2</v>
      </c>
      <c r="G9">
        <v>1</v>
      </c>
      <c r="H9" t="s">
        <v>792</v>
      </c>
      <c r="I9">
        <v>7.4</v>
      </c>
      <c r="J9">
        <v>6.4</v>
      </c>
      <c r="K9">
        <v>0</v>
      </c>
      <c r="L9" t="s">
        <v>718</v>
      </c>
      <c r="M9" t="s">
        <v>811</v>
      </c>
      <c r="N9" t="s">
        <v>1038</v>
      </c>
      <c r="O9" t="s">
        <v>812</v>
      </c>
      <c r="P9">
        <v>1</v>
      </c>
      <c r="Q9">
        <v>0</v>
      </c>
      <c r="R9" t="s">
        <v>1039</v>
      </c>
      <c r="S9" t="s">
        <v>42</v>
      </c>
      <c r="T9" t="s">
        <v>42</v>
      </c>
      <c r="U9" t="s">
        <v>874</v>
      </c>
      <c r="V9" t="s">
        <v>875</v>
      </c>
    </row>
    <row r="10" spans="1:22" x14ac:dyDescent="0.3">
      <c r="A10">
        <v>50008</v>
      </c>
      <c r="B10" t="s">
        <v>821</v>
      </c>
      <c r="C10" t="s">
        <v>879</v>
      </c>
      <c r="D10" t="s">
        <v>1046</v>
      </c>
      <c r="E10" t="s">
        <v>1047</v>
      </c>
      <c r="F10">
        <v>2</v>
      </c>
      <c r="G10">
        <v>1</v>
      </c>
      <c r="H10" t="s">
        <v>720</v>
      </c>
      <c r="I10">
        <v>3.3000000000000003</v>
      </c>
      <c r="J10">
        <v>2.3000000000000003</v>
      </c>
      <c r="K10">
        <v>0</v>
      </c>
      <c r="L10" t="s">
        <v>721</v>
      </c>
      <c r="M10" t="s">
        <v>824</v>
      </c>
      <c r="N10" t="s">
        <v>885</v>
      </c>
      <c r="O10" t="s">
        <v>825</v>
      </c>
      <c r="P10">
        <v>3</v>
      </c>
      <c r="Q10">
        <v>0</v>
      </c>
      <c r="R10" t="s">
        <v>1039</v>
      </c>
      <c r="S10" t="s">
        <v>42</v>
      </c>
      <c r="T10" t="s">
        <v>42</v>
      </c>
      <c r="U10" t="s">
        <v>874</v>
      </c>
      <c r="V10" t="s">
        <v>875</v>
      </c>
    </row>
    <row r="11" spans="1:22" x14ac:dyDescent="0.3">
      <c r="A11">
        <v>50009</v>
      </c>
      <c r="B11" t="s">
        <v>826</v>
      </c>
      <c r="C11" t="s">
        <v>880</v>
      </c>
      <c r="D11" t="s">
        <v>1048</v>
      </c>
      <c r="E11" t="s">
        <v>1049</v>
      </c>
      <c r="F11">
        <v>2</v>
      </c>
      <c r="G11">
        <v>1</v>
      </c>
      <c r="H11" t="s">
        <v>792</v>
      </c>
      <c r="I11">
        <v>6.1000000000000005</v>
      </c>
      <c r="J11">
        <v>5.1000000000000005</v>
      </c>
      <c r="K11">
        <v>0</v>
      </c>
      <c r="L11" t="s">
        <v>723</v>
      </c>
      <c r="M11" t="s">
        <v>824</v>
      </c>
      <c r="N11" t="s">
        <v>1038</v>
      </c>
      <c r="O11" t="s">
        <v>825</v>
      </c>
      <c r="P11">
        <v>1</v>
      </c>
      <c r="Q11">
        <v>0</v>
      </c>
      <c r="R11" t="s">
        <v>1039</v>
      </c>
      <c r="S11" t="s">
        <v>42</v>
      </c>
      <c r="T11" t="s">
        <v>42</v>
      </c>
      <c r="U11" t="s">
        <v>874</v>
      </c>
      <c r="V11" t="s">
        <v>875</v>
      </c>
    </row>
    <row r="12" spans="1:22" x14ac:dyDescent="0.3">
      <c r="A12">
        <v>50010</v>
      </c>
      <c r="B12" t="s">
        <v>829</v>
      </c>
      <c r="C12" t="s">
        <v>881</v>
      </c>
      <c r="D12" t="s">
        <v>1050</v>
      </c>
      <c r="E12" t="s">
        <v>1051</v>
      </c>
      <c r="F12">
        <v>2</v>
      </c>
      <c r="G12">
        <v>1</v>
      </c>
      <c r="H12" t="s">
        <v>725</v>
      </c>
      <c r="I12">
        <v>5.4</v>
      </c>
      <c r="J12">
        <v>4.4000000000000004</v>
      </c>
      <c r="K12">
        <v>0</v>
      </c>
      <c r="L12" t="s">
        <v>726</v>
      </c>
      <c r="M12" t="s">
        <v>832</v>
      </c>
      <c r="N12" t="s">
        <v>1052</v>
      </c>
      <c r="O12" t="s">
        <v>833</v>
      </c>
      <c r="P12">
        <v>3</v>
      </c>
      <c r="Q12">
        <v>0</v>
      </c>
      <c r="R12" t="s">
        <v>1039</v>
      </c>
      <c r="S12" t="s">
        <v>42</v>
      </c>
      <c r="T12" t="s">
        <v>42</v>
      </c>
      <c r="U12" t="s">
        <v>874</v>
      </c>
      <c r="V12" t="s">
        <v>875</v>
      </c>
    </row>
    <row r="13" spans="1:22" x14ac:dyDescent="0.3">
      <c r="A13">
        <v>50011</v>
      </c>
      <c r="B13" t="s">
        <v>834</v>
      </c>
      <c r="C13" t="s">
        <v>882</v>
      </c>
      <c r="D13" t="s">
        <v>1053</v>
      </c>
      <c r="E13" t="s">
        <v>1054</v>
      </c>
      <c r="F13">
        <v>2</v>
      </c>
      <c r="G13">
        <v>1</v>
      </c>
      <c r="H13" t="s">
        <v>792</v>
      </c>
      <c r="I13">
        <v>6.6000000000000005</v>
      </c>
      <c r="J13">
        <v>5.6000000000000005</v>
      </c>
      <c r="K13">
        <v>0</v>
      </c>
      <c r="L13" t="s">
        <v>728</v>
      </c>
      <c r="M13" t="s">
        <v>811</v>
      </c>
      <c r="N13" t="s">
        <v>1038</v>
      </c>
      <c r="O13" t="s">
        <v>812</v>
      </c>
      <c r="P13">
        <v>1</v>
      </c>
      <c r="Q13">
        <v>0</v>
      </c>
      <c r="R13" t="s">
        <v>1039</v>
      </c>
      <c r="S13" t="s">
        <v>42</v>
      </c>
      <c r="T13" t="s">
        <v>42</v>
      </c>
      <c r="U13" t="s">
        <v>874</v>
      </c>
      <c r="V13" t="s">
        <v>875</v>
      </c>
    </row>
    <row r="14" spans="1:22" x14ac:dyDescent="0.3">
      <c r="A14">
        <v>50012</v>
      </c>
      <c r="B14" t="s">
        <v>837</v>
      </c>
      <c r="C14" t="s">
        <v>883</v>
      </c>
      <c r="D14" t="s">
        <v>1055</v>
      </c>
      <c r="E14" t="s">
        <v>1056</v>
      </c>
      <c r="F14">
        <v>2</v>
      </c>
      <c r="G14">
        <v>1</v>
      </c>
      <c r="H14" t="s">
        <v>792</v>
      </c>
      <c r="I14">
        <v>6.6000000000000005</v>
      </c>
      <c r="J14">
        <v>5.6000000000000005</v>
      </c>
      <c r="K14">
        <v>0</v>
      </c>
      <c r="L14" t="s">
        <v>729</v>
      </c>
      <c r="M14" t="s">
        <v>838</v>
      </c>
      <c r="N14" t="s">
        <v>1038</v>
      </c>
      <c r="O14" t="s">
        <v>839</v>
      </c>
      <c r="P14">
        <v>1</v>
      </c>
      <c r="Q14">
        <v>0</v>
      </c>
      <c r="R14" t="s">
        <v>1039</v>
      </c>
      <c r="S14" t="s">
        <v>42</v>
      </c>
      <c r="T14" t="s">
        <v>42</v>
      </c>
      <c r="U14" t="s">
        <v>874</v>
      </c>
      <c r="V14" t="s">
        <v>875</v>
      </c>
    </row>
    <row r="15" spans="1:22" x14ac:dyDescent="0.3">
      <c r="A15">
        <v>50013</v>
      </c>
      <c r="B15" t="s">
        <v>840</v>
      </c>
      <c r="C15" t="s">
        <v>884</v>
      </c>
      <c r="D15" t="s">
        <v>1057</v>
      </c>
      <c r="E15" t="s">
        <v>1058</v>
      </c>
      <c r="F15">
        <v>2</v>
      </c>
      <c r="G15">
        <v>1</v>
      </c>
      <c r="H15" t="s">
        <v>715</v>
      </c>
      <c r="I15">
        <v>8.1999999999999993</v>
      </c>
      <c r="J15">
        <v>7.2</v>
      </c>
      <c r="K15">
        <v>0</v>
      </c>
      <c r="L15" t="s">
        <v>730</v>
      </c>
      <c r="M15" t="s">
        <v>841</v>
      </c>
      <c r="N15" t="s">
        <v>885</v>
      </c>
      <c r="O15" t="s">
        <v>842</v>
      </c>
      <c r="P15">
        <v>1</v>
      </c>
      <c r="Q15">
        <v>0</v>
      </c>
      <c r="R15" t="s">
        <v>1039</v>
      </c>
      <c r="S15" t="s">
        <v>42</v>
      </c>
      <c r="T15" t="s">
        <v>42</v>
      </c>
    </row>
    <row r="16" spans="1:22" x14ac:dyDescent="0.3">
      <c r="A16">
        <v>50014</v>
      </c>
      <c r="B16" t="s">
        <v>843</v>
      </c>
      <c r="C16" t="s">
        <v>886</v>
      </c>
      <c r="D16" t="s">
        <v>1059</v>
      </c>
      <c r="E16" t="s">
        <v>1060</v>
      </c>
      <c r="F16">
        <v>2</v>
      </c>
      <c r="G16">
        <v>1</v>
      </c>
      <c r="H16" t="s">
        <v>725</v>
      </c>
      <c r="I16">
        <v>4.9000000000000004</v>
      </c>
      <c r="J16">
        <v>3.9000000000000004</v>
      </c>
      <c r="K16">
        <v>0</v>
      </c>
      <c r="L16" t="s">
        <v>731</v>
      </c>
      <c r="M16" t="s">
        <v>841</v>
      </c>
      <c r="N16" t="s">
        <v>1038</v>
      </c>
      <c r="O16" t="s">
        <v>842</v>
      </c>
      <c r="P16">
        <v>1</v>
      </c>
      <c r="Q16">
        <v>0</v>
      </c>
      <c r="R16" t="s">
        <v>1039</v>
      </c>
      <c r="S16" t="s">
        <v>42</v>
      </c>
      <c r="T16" t="s">
        <v>42</v>
      </c>
      <c r="U16" t="s">
        <v>874</v>
      </c>
      <c r="V16" t="s">
        <v>875</v>
      </c>
    </row>
    <row r="17" spans="1:22" x14ac:dyDescent="0.3">
      <c r="A17">
        <v>50015</v>
      </c>
      <c r="B17" t="s">
        <v>844</v>
      </c>
      <c r="C17" t="s">
        <v>887</v>
      </c>
      <c r="D17" t="s">
        <v>1061</v>
      </c>
      <c r="E17" t="s">
        <v>1062</v>
      </c>
      <c r="F17">
        <v>2</v>
      </c>
      <c r="G17">
        <v>1</v>
      </c>
      <c r="H17" t="s">
        <v>792</v>
      </c>
      <c r="I17">
        <v>7.2</v>
      </c>
      <c r="J17">
        <v>6.2</v>
      </c>
      <c r="K17">
        <v>0</v>
      </c>
      <c r="L17" t="s">
        <v>732</v>
      </c>
      <c r="M17" t="s">
        <v>838</v>
      </c>
      <c r="N17" t="s">
        <v>1038</v>
      </c>
      <c r="O17" t="s">
        <v>839</v>
      </c>
      <c r="P17">
        <v>1</v>
      </c>
      <c r="Q17">
        <v>0</v>
      </c>
      <c r="R17" t="s">
        <v>1039</v>
      </c>
      <c r="S17" t="s">
        <v>42</v>
      </c>
      <c r="T17" t="s">
        <v>42</v>
      </c>
      <c r="U17" t="s">
        <v>874</v>
      </c>
      <c r="V17" t="s">
        <v>875</v>
      </c>
    </row>
    <row r="18" spans="1:22" x14ac:dyDescent="0.3">
      <c r="A18">
        <v>50016</v>
      </c>
      <c r="B18" t="s">
        <v>733</v>
      </c>
      <c r="C18" t="s">
        <v>888</v>
      </c>
      <c r="D18" t="s">
        <v>1063</v>
      </c>
      <c r="E18" t="s">
        <v>1064</v>
      </c>
      <c r="F18">
        <v>2</v>
      </c>
      <c r="G18">
        <v>1</v>
      </c>
      <c r="H18" t="s">
        <v>715</v>
      </c>
      <c r="I18">
        <v>8.3000000000000007</v>
      </c>
      <c r="J18">
        <v>7.3000000000000007</v>
      </c>
      <c r="K18">
        <v>0</v>
      </c>
      <c r="L18" t="s">
        <v>734</v>
      </c>
      <c r="M18" t="s">
        <v>845</v>
      </c>
      <c r="N18" t="s">
        <v>885</v>
      </c>
      <c r="O18" t="s">
        <v>846</v>
      </c>
      <c r="P18">
        <v>1</v>
      </c>
      <c r="Q18">
        <v>0</v>
      </c>
      <c r="R18" t="s">
        <v>1039</v>
      </c>
      <c r="S18" t="s">
        <v>42</v>
      </c>
      <c r="T18" t="s">
        <v>42</v>
      </c>
    </row>
    <row r="19" spans="1:22" x14ac:dyDescent="0.3">
      <c r="A19">
        <v>50017</v>
      </c>
      <c r="B19" t="s">
        <v>735</v>
      </c>
      <c r="C19" t="s">
        <v>889</v>
      </c>
      <c r="D19" t="s">
        <v>1065</v>
      </c>
      <c r="E19" t="s">
        <v>1066</v>
      </c>
      <c r="F19">
        <v>2</v>
      </c>
      <c r="G19">
        <v>1</v>
      </c>
      <c r="H19" t="s">
        <v>715</v>
      </c>
      <c r="I19">
        <v>8.3000000000000007</v>
      </c>
      <c r="J19">
        <v>7.3000000000000007</v>
      </c>
      <c r="K19">
        <v>0</v>
      </c>
      <c r="L19" t="s">
        <v>736</v>
      </c>
      <c r="M19" t="s">
        <v>845</v>
      </c>
      <c r="N19" t="s">
        <v>885</v>
      </c>
      <c r="O19" t="s">
        <v>846</v>
      </c>
      <c r="P19">
        <v>1</v>
      </c>
      <c r="Q19">
        <v>0</v>
      </c>
      <c r="R19" t="s">
        <v>1039</v>
      </c>
      <c r="S19" t="s">
        <v>42</v>
      </c>
      <c r="T19" t="s">
        <v>42</v>
      </c>
    </row>
    <row r="20" spans="1:22" x14ac:dyDescent="0.3">
      <c r="A20">
        <v>50018</v>
      </c>
      <c r="B20" t="s">
        <v>737</v>
      </c>
      <c r="C20" t="s">
        <v>890</v>
      </c>
      <c r="D20" t="s">
        <v>1067</v>
      </c>
      <c r="E20" t="s">
        <v>1068</v>
      </c>
      <c r="F20">
        <v>2</v>
      </c>
      <c r="G20">
        <v>1</v>
      </c>
      <c r="H20" t="s">
        <v>715</v>
      </c>
      <c r="I20">
        <v>8.3000000000000007</v>
      </c>
      <c r="J20">
        <v>7.3000000000000007</v>
      </c>
      <c r="K20">
        <v>0</v>
      </c>
      <c r="L20" t="s">
        <v>738</v>
      </c>
      <c r="M20" t="s">
        <v>845</v>
      </c>
      <c r="N20" t="s">
        <v>885</v>
      </c>
      <c r="O20" t="s">
        <v>846</v>
      </c>
      <c r="P20">
        <v>1</v>
      </c>
      <c r="Q20">
        <v>0</v>
      </c>
      <c r="R20" t="s">
        <v>1039</v>
      </c>
      <c r="S20" t="s">
        <v>42</v>
      </c>
      <c r="T20" t="s">
        <v>42</v>
      </c>
    </row>
    <row r="21" spans="1:22" x14ac:dyDescent="0.3">
      <c r="A21">
        <v>50019</v>
      </c>
      <c r="B21" t="s">
        <v>735</v>
      </c>
      <c r="C21" t="s">
        <v>891</v>
      </c>
      <c r="D21" t="s">
        <v>1069</v>
      </c>
      <c r="E21" t="s">
        <v>1070</v>
      </c>
      <c r="F21">
        <v>2</v>
      </c>
      <c r="G21">
        <v>1</v>
      </c>
      <c r="H21" t="s">
        <v>715</v>
      </c>
      <c r="I21">
        <v>8.3000000000000007</v>
      </c>
      <c r="J21">
        <v>7.3000000000000007</v>
      </c>
      <c r="K21">
        <v>0</v>
      </c>
      <c r="L21" t="s">
        <v>739</v>
      </c>
      <c r="M21" t="s">
        <v>845</v>
      </c>
      <c r="N21" t="s">
        <v>885</v>
      </c>
      <c r="O21" t="s">
        <v>846</v>
      </c>
      <c r="P21">
        <v>1</v>
      </c>
      <c r="Q21">
        <v>0</v>
      </c>
      <c r="R21" t="s">
        <v>1039</v>
      </c>
      <c r="S21" t="s">
        <v>42</v>
      </c>
      <c r="T21" t="s">
        <v>42</v>
      </c>
    </row>
    <row r="22" spans="1:22" x14ac:dyDescent="0.3">
      <c r="A22">
        <v>50020</v>
      </c>
      <c r="B22" t="s">
        <v>847</v>
      </c>
      <c r="C22" t="s">
        <v>892</v>
      </c>
      <c r="D22" t="s">
        <v>1071</v>
      </c>
      <c r="E22" t="s">
        <v>1072</v>
      </c>
      <c r="F22">
        <v>2</v>
      </c>
      <c r="G22">
        <v>1</v>
      </c>
      <c r="H22" t="s">
        <v>715</v>
      </c>
      <c r="I22">
        <v>8.3000000000000007</v>
      </c>
      <c r="J22">
        <v>7.3000000000000007</v>
      </c>
      <c r="K22">
        <v>0</v>
      </c>
      <c r="L22" t="s">
        <v>740</v>
      </c>
      <c r="M22" t="s">
        <v>845</v>
      </c>
      <c r="N22" t="s">
        <v>885</v>
      </c>
      <c r="O22" t="s">
        <v>846</v>
      </c>
      <c r="P22">
        <v>1</v>
      </c>
      <c r="Q22">
        <v>0</v>
      </c>
      <c r="R22" t="s">
        <v>1039</v>
      </c>
      <c r="S22" t="s">
        <v>42</v>
      </c>
      <c r="T22" t="s">
        <v>42</v>
      </c>
    </row>
    <row r="23" spans="1:22" x14ac:dyDescent="0.3">
      <c r="A23">
        <v>50021</v>
      </c>
      <c r="B23" t="s">
        <v>741</v>
      </c>
      <c r="C23" t="s">
        <v>893</v>
      </c>
      <c r="D23" t="s">
        <v>1073</v>
      </c>
      <c r="E23" t="s">
        <v>1074</v>
      </c>
      <c r="F23">
        <v>2</v>
      </c>
      <c r="G23">
        <v>1</v>
      </c>
      <c r="H23" t="s">
        <v>715</v>
      </c>
      <c r="I23">
        <v>8.3000000000000007</v>
      </c>
      <c r="J23">
        <v>7.3000000000000007</v>
      </c>
      <c r="K23">
        <v>0</v>
      </c>
      <c r="L23" t="s">
        <v>742</v>
      </c>
      <c r="M23" t="s">
        <v>845</v>
      </c>
      <c r="N23" t="s">
        <v>885</v>
      </c>
      <c r="O23" t="s">
        <v>846</v>
      </c>
      <c r="P23">
        <v>1</v>
      </c>
      <c r="Q23">
        <v>0</v>
      </c>
      <c r="R23" t="s">
        <v>1039</v>
      </c>
      <c r="S23" t="s">
        <v>42</v>
      </c>
      <c r="T23" t="s">
        <v>42</v>
      </c>
    </row>
    <row r="24" spans="1:22" x14ac:dyDescent="0.3">
      <c r="A24">
        <v>50022</v>
      </c>
      <c r="B24" t="s">
        <v>741</v>
      </c>
      <c r="C24" t="s">
        <v>894</v>
      </c>
      <c r="D24" t="s">
        <v>1075</v>
      </c>
      <c r="E24" t="s">
        <v>1076</v>
      </c>
      <c r="F24">
        <v>2</v>
      </c>
      <c r="G24">
        <v>1</v>
      </c>
      <c r="H24" t="s">
        <v>715</v>
      </c>
      <c r="I24">
        <v>8.3000000000000007</v>
      </c>
      <c r="J24">
        <v>7.3000000000000007</v>
      </c>
      <c r="K24">
        <v>0</v>
      </c>
      <c r="L24" t="s">
        <v>743</v>
      </c>
      <c r="M24" t="s">
        <v>845</v>
      </c>
      <c r="N24" t="s">
        <v>885</v>
      </c>
      <c r="O24" t="s">
        <v>846</v>
      </c>
      <c r="P24">
        <v>1</v>
      </c>
      <c r="Q24">
        <v>0</v>
      </c>
      <c r="R24" t="s">
        <v>1039</v>
      </c>
      <c r="S24" t="s">
        <v>42</v>
      </c>
      <c r="T24" t="s">
        <v>42</v>
      </c>
    </row>
    <row r="25" spans="1:22" x14ac:dyDescent="0.3">
      <c r="A25">
        <v>50023</v>
      </c>
      <c r="B25" t="s">
        <v>847</v>
      </c>
      <c r="C25" t="s">
        <v>895</v>
      </c>
      <c r="D25" t="s">
        <v>1077</v>
      </c>
      <c r="E25" t="s">
        <v>1078</v>
      </c>
      <c r="F25">
        <v>2</v>
      </c>
      <c r="G25">
        <v>1</v>
      </c>
      <c r="H25" t="s">
        <v>715</v>
      </c>
      <c r="I25">
        <v>8.3000000000000007</v>
      </c>
      <c r="J25">
        <v>7.3000000000000007</v>
      </c>
      <c r="K25">
        <v>0</v>
      </c>
      <c r="L25" t="s">
        <v>744</v>
      </c>
      <c r="M25" t="s">
        <v>845</v>
      </c>
      <c r="N25" t="s">
        <v>885</v>
      </c>
      <c r="O25" t="s">
        <v>846</v>
      </c>
      <c r="P25">
        <v>1</v>
      </c>
      <c r="Q25">
        <v>0</v>
      </c>
      <c r="R25" t="s">
        <v>1039</v>
      </c>
      <c r="S25" t="s">
        <v>42</v>
      </c>
      <c r="T25" t="s">
        <v>42</v>
      </c>
    </row>
    <row r="26" spans="1:22" x14ac:dyDescent="0.3">
      <c r="A26">
        <v>50024</v>
      </c>
      <c r="B26" t="s">
        <v>821</v>
      </c>
      <c r="C26" t="s">
        <v>896</v>
      </c>
      <c r="D26" t="s">
        <v>1079</v>
      </c>
      <c r="E26" t="s">
        <v>1080</v>
      </c>
      <c r="F26">
        <v>2</v>
      </c>
      <c r="G26">
        <v>1</v>
      </c>
      <c r="H26" t="s">
        <v>720</v>
      </c>
      <c r="I26">
        <v>5</v>
      </c>
      <c r="J26">
        <v>4</v>
      </c>
      <c r="K26">
        <v>0</v>
      </c>
      <c r="L26" t="s">
        <v>745</v>
      </c>
      <c r="M26" t="s">
        <v>824</v>
      </c>
      <c r="N26" t="s">
        <v>885</v>
      </c>
      <c r="O26" t="s">
        <v>825</v>
      </c>
      <c r="P26">
        <v>1</v>
      </c>
      <c r="Q26">
        <v>0</v>
      </c>
      <c r="R26" t="s">
        <v>1039</v>
      </c>
      <c r="S26" t="s">
        <v>42</v>
      </c>
      <c r="T26" t="s">
        <v>42</v>
      </c>
      <c r="U26" t="s">
        <v>874</v>
      </c>
      <c r="V26" t="s">
        <v>875</v>
      </c>
    </row>
    <row r="27" spans="1:22" x14ac:dyDescent="0.3">
      <c r="A27">
        <v>50025</v>
      </c>
      <c r="B27" t="s">
        <v>897</v>
      </c>
      <c r="C27" t="s">
        <v>898</v>
      </c>
      <c r="D27" t="s">
        <v>1081</v>
      </c>
      <c r="E27" t="s">
        <v>1082</v>
      </c>
      <c r="F27">
        <v>2</v>
      </c>
      <c r="G27">
        <v>1</v>
      </c>
      <c r="H27" t="s">
        <v>792</v>
      </c>
      <c r="I27">
        <v>6.1000000000000005</v>
      </c>
      <c r="J27">
        <v>5.1000000000000005</v>
      </c>
      <c r="K27">
        <v>0</v>
      </c>
      <c r="L27" t="s">
        <v>746</v>
      </c>
      <c r="M27" t="s">
        <v>824</v>
      </c>
      <c r="N27" t="s">
        <v>1038</v>
      </c>
      <c r="O27" t="s">
        <v>825</v>
      </c>
      <c r="P27">
        <v>1</v>
      </c>
      <c r="Q27">
        <v>0</v>
      </c>
      <c r="R27" t="s">
        <v>1039</v>
      </c>
      <c r="S27" t="s">
        <v>42</v>
      </c>
      <c r="T27" t="s">
        <v>42</v>
      </c>
      <c r="U27" t="s">
        <v>874</v>
      </c>
      <c r="V27" t="s">
        <v>875</v>
      </c>
    </row>
    <row r="28" spans="1:22" x14ac:dyDescent="0.3">
      <c r="A28">
        <v>50026</v>
      </c>
      <c r="B28" t="s">
        <v>899</v>
      </c>
      <c r="C28" t="s">
        <v>900</v>
      </c>
      <c r="D28" t="s">
        <v>1083</v>
      </c>
      <c r="E28" t="s">
        <v>1084</v>
      </c>
      <c r="F28">
        <v>2</v>
      </c>
      <c r="G28">
        <v>1</v>
      </c>
      <c r="H28" t="s">
        <v>715</v>
      </c>
      <c r="I28">
        <v>5.1000000000000005</v>
      </c>
      <c r="J28">
        <v>4.1000000000000005</v>
      </c>
      <c r="K28">
        <v>0</v>
      </c>
      <c r="L28" t="s">
        <v>747</v>
      </c>
      <c r="M28" t="s">
        <v>848</v>
      </c>
      <c r="N28" t="s">
        <v>885</v>
      </c>
      <c r="O28" t="s">
        <v>849</v>
      </c>
      <c r="P28">
        <v>1</v>
      </c>
      <c r="Q28">
        <v>0</v>
      </c>
      <c r="R28" t="s">
        <v>1039</v>
      </c>
      <c r="S28" t="s">
        <v>42</v>
      </c>
      <c r="T28" t="s">
        <v>42</v>
      </c>
    </row>
    <row r="29" spans="1:22" x14ac:dyDescent="0.3">
      <c r="A29">
        <v>50027</v>
      </c>
      <c r="B29" t="s">
        <v>850</v>
      </c>
      <c r="C29" t="s">
        <v>901</v>
      </c>
      <c r="D29" t="s">
        <v>1085</v>
      </c>
      <c r="E29" t="s">
        <v>1086</v>
      </c>
      <c r="F29">
        <v>2</v>
      </c>
      <c r="G29">
        <v>1</v>
      </c>
      <c r="H29" t="s">
        <v>792</v>
      </c>
      <c r="I29">
        <v>7.4</v>
      </c>
      <c r="J29">
        <v>6.4</v>
      </c>
      <c r="K29">
        <v>0</v>
      </c>
      <c r="L29" t="s">
        <v>748</v>
      </c>
      <c r="M29" t="s">
        <v>848</v>
      </c>
      <c r="N29" t="s">
        <v>1038</v>
      </c>
      <c r="O29" t="s">
        <v>849</v>
      </c>
      <c r="P29">
        <v>1</v>
      </c>
      <c r="Q29">
        <v>0</v>
      </c>
      <c r="R29" t="s">
        <v>1039</v>
      </c>
      <c r="S29" t="s">
        <v>42</v>
      </c>
      <c r="T29" t="s">
        <v>42</v>
      </c>
      <c r="U29" t="s">
        <v>874</v>
      </c>
      <c r="V29" t="s">
        <v>875</v>
      </c>
    </row>
    <row r="30" spans="1:22" x14ac:dyDescent="0.3">
      <c r="A30">
        <v>50028</v>
      </c>
      <c r="B30" t="s">
        <v>851</v>
      </c>
      <c r="C30" t="s">
        <v>902</v>
      </c>
      <c r="D30" t="s">
        <v>1087</v>
      </c>
      <c r="E30" t="s">
        <v>1088</v>
      </c>
      <c r="F30">
        <v>2</v>
      </c>
      <c r="G30">
        <v>1</v>
      </c>
      <c r="H30" t="s">
        <v>749</v>
      </c>
      <c r="I30">
        <v>1</v>
      </c>
      <c r="J30">
        <v>10</v>
      </c>
      <c r="K30">
        <v>0</v>
      </c>
      <c r="L30" t="s">
        <v>750</v>
      </c>
      <c r="M30" t="s">
        <v>852</v>
      </c>
      <c r="N30" t="s">
        <v>795</v>
      </c>
      <c r="O30" t="s">
        <v>853</v>
      </c>
      <c r="P30">
        <v>1</v>
      </c>
      <c r="Q30">
        <v>0</v>
      </c>
      <c r="R30" t="s">
        <v>1039</v>
      </c>
      <c r="S30" t="s">
        <v>42</v>
      </c>
      <c r="T30" t="s">
        <v>42</v>
      </c>
    </row>
    <row r="31" spans="1:22" x14ac:dyDescent="0.3">
      <c r="A31">
        <v>50029</v>
      </c>
      <c r="B31" t="s">
        <v>854</v>
      </c>
      <c r="C31" t="s">
        <v>903</v>
      </c>
      <c r="D31" t="s">
        <v>1089</v>
      </c>
      <c r="E31" t="s">
        <v>1090</v>
      </c>
      <c r="F31">
        <v>2</v>
      </c>
      <c r="G31">
        <v>1</v>
      </c>
      <c r="H31" t="s">
        <v>792</v>
      </c>
      <c r="I31">
        <v>8.1999999999999993</v>
      </c>
      <c r="J31">
        <v>7.2</v>
      </c>
      <c r="K31">
        <v>0</v>
      </c>
      <c r="L31" t="s">
        <v>751</v>
      </c>
      <c r="M31" t="s">
        <v>848</v>
      </c>
      <c r="N31" t="s">
        <v>1038</v>
      </c>
      <c r="O31" t="s">
        <v>849</v>
      </c>
      <c r="P31">
        <v>1</v>
      </c>
      <c r="Q31">
        <v>0</v>
      </c>
      <c r="R31" t="s">
        <v>1039</v>
      </c>
      <c r="S31" t="s">
        <v>42</v>
      </c>
      <c r="T31" t="s">
        <v>42</v>
      </c>
      <c r="U31" t="s">
        <v>874</v>
      </c>
      <c r="V31" t="s">
        <v>875</v>
      </c>
    </row>
    <row r="32" spans="1:22" x14ac:dyDescent="0.3">
      <c r="A32">
        <v>50030</v>
      </c>
      <c r="B32" t="s">
        <v>855</v>
      </c>
      <c r="C32" t="s">
        <v>1091</v>
      </c>
      <c r="D32" t="s">
        <v>1092</v>
      </c>
      <c r="E32" t="s">
        <v>1093</v>
      </c>
      <c r="F32">
        <v>3</v>
      </c>
      <c r="G32">
        <v>2</v>
      </c>
      <c r="H32" t="s">
        <v>792</v>
      </c>
      <c r="I32">
        <v>3.5</v>
      </c>
      <c r="J32">
        <v>2.5</v>
      </c>
      <c r="K32">
        <v>0</v>
      </c>
      <c r="L32" t="s">
        <v>856</v>
      </c>
      <c r="M32" t="s">
        <v>857</v>
      </c>
      <c r="N32" t="s">
        <v>1094</v>
      </c>
      <c r="O32" t="s">
        <v>858</v>
      </c>
      <c r="P32">
        <v>1</v>
      </c>
      <c r="Q32">
        <v>0</v>
      </c>
      <c r="R32" t="s">
        <v>1095</v>
      </c>
      <c r="S32" t="s">
        <v>42</v>
      </c>
      <c r="T32" t="s">
        <v>42</v>
      </c>
      <c r="U32" t="s">
        <v>1096</v>
      </c>
      <c r="V32" t="s">
        <v>1097</v>
      </c>
    </row>
    <row r="33" spans="1:22" x14ac:dyDescent="0.3">
      <c r="A33">
        <v>50031</v>
      </c>
      <c r="B33" t="s">
        <v>752</v>
      </c>
      <c r="C33" t="s">
        <v>904</v>
      </c>
      <c r="D33" t="s">
        <v>1098</v>
      </c>
      <c r="E33" t="s">
        <v>1099</v>
      </c>
      <c r="F33">
        <v>3</v>
      </c>
      <c r="G33">
        <v>2</v>
      </c>
      <c r="H33" t="s">
        <v>792</v>
      </c>
      <c r="I33">
        <v>4.0999999999999996</v>
      </c>
      <c r="J33">
        <v>3.1</v>
      </c>
      <c r="K33">
        <v>0</v>
      </c>
      <c r="L33" t="s">
        <v>753</v>
      </c>
      <c r="M33" t="s">
        <v>754</v>
      </c>
      <c r="N33" t="s">
        <v>1100</v>
      </c>
      <c r="O33" t="s">
        <v>755</v>
      </c>
      <c r="P33">
        <v>1</v>
      </c>
      <c r="Q33">
        <v>0</v>
      </c>
      <c r="R33" t="s">
        <v>1095</v>
      </c>
      <c r="S33" t="s">
        <v>42</v>
      </c>
      <c r="T33" t="s">
        <v>42</v>
      </c>
      <c r="U33" t="s">
        <v>1096</v>
      </c>
      <c r="V33" t="s">
        <v>1097</v>
      </c>
    </row>
    <row r="34" spans="1:22" x14ac:dyDescent="0.3">
      <c r="A34">
        <v>50032</v>
      </c>
      <c r="B34" t="s">
        <v>756</v>
      </c>
      <c r="C34" t="s">
        <v>905</v>
      </c>
      <c r="D34" t="s">
        <v>1101</v>
      </c>
      <c r="E34" t="s">
        <v>1102</v>
      </c>
      <c r="F34">
        <v>3</v>
      </c>
      <c r="G34">
        <v>2</v>
      </c>
      <c r="H34" t="s">
        <v>792</v>
      </c>
      <c r="I34">
        <v>7</v>
      </c>
      <c r="J34">
        <v>6</v>
      </c>
      <c r="K34">
        <v>0</v>
      </c>
      <c r="L34" t="s">
        <v>757</v>
      </c>
      <c r="M34" t="s">
        <v>758</v>
      </c>
      <c r="N34" t="s">
        <v>1100</v>
      </c>
      <c r="O34" t="s">
        <v>759</v>
      </c>
      <c r="P34">
        <v>1</v>
      </c>
      <c r="Q34">
        <v>0</v>
      </c>
      <c r="R34" t="s">
        <v>1095</v>
      </c>
      <c r="S34" t="s">
        <v>42</v>
      </c>
      <c r="T34" t="s">
        <v>42</v>
      </c>
      <c r="U34" t="s">
        <v>1096</v>
      </c>
      <c r="V34" t="s">
        <v>1097</v>
      </c>
    </row>
    <row r="35" spans="1:22" x14ac:dyDescent="0.3">
      <c r="A35">
        <v>50033</v>
      </c>
      <c r="B35" t="s">
        <v>760</v>
      </c>
      <c r="C35" t="s">
        <v>906</v>
      </c>
      <c r="D35" t="s">
        <v>1103</v>
      </c>
      <c r="E35" t="s">
        <v>1104</v>
      </c>
      <c r="F35">
        <v>3</v>
      </c>
      <c r="G35">
        <v>2</v>
      </c>
      <c r="H35" t="s">
        <v>792</v>
      </c>
      <c r="I35">
        <v>2</v>
      </c>
      <c r="J35">
        <v>1</v>
      </c>
      <c r="K35">
        <v>0</v>
      </c>
      <c r="L35" t="s">
        <v>761</v>
      </c>
      <c r="M35" t="s">
        <v>762</v>
      </c>
      <c r="N35" t="s">
        <v>1094</v>
      </c>
      <c r="O35" t="s">
        <v>763</v>
      </c>
      <c r="P35">
        <v>1</v>
      </c>
      <c r="Q35">
        <v>0</v>
      </c>
      <c r="R35" t="s">
        <v>1095</v>
      </c>
      <c r="S35" t="s">
        <v>42</v>
      </c>
      <c r="T35" t="s">
        <v>42</v>
      </c>
      <c r="U35" t="s">
        <v>1096</v>
      </c>
      <c r="V35" t="s">
        <v>1097</v>
      </c>
    </row>
    <row r="36" spans="1:22" x14ac:dyDescent="0.3">
      <c r="A36">
        <v>50034</v>
      </c>
      <c r="B36" t="s">
        <v>764</v>
      </c>
      <c r="C36" t="s">
        <v>907</v>
      </c>
      <c r="D36" t="s">
        <v>1105</v>
      </c>
      <c r="E36" t="s">
        <v>1106</v>
      </c>
      <c r="F36">
        <v>3</v>
      </c>
      <c r="G36">
        <v>2</v>
      </c>
      <c r="H36" t="s">
        <v>792</v>
      </c>
      <c r="I36">
        <v>5.8000000000000007</v>
      </c>
      <c r="J36">
        <v>4.8000000000000007</v>
      </c>
      <c r="K36">
        <v>0</v>
      </c>
      <c r="L36" t="s">
        <v>765</v>
      </c>
      <c r="M36" t="s">
        <v>766</v>
      </c>
      <c r="N36" t="s">
        <v>1100</v>
      </c>
      <c r="O36" t="s">
        <v>767</v>
      </c>
      <c r="P36">
        <v>1</v>
      </c>
      <c r="Q36">
        <v>0</v>
      </c>
      <c r="R36" t="s">
        <v>1095</v>
      </c>
      <c r="S36" t="s">
        <v>42</v>
      </c>
      <c r="T36" t="s">
        <v>42</v>
      </c>
      <c r="U36" t="s">
        <v>1096</v>
      </c>
      <c r="V36" t="s">
        <v>1097</v>
      </c>
    </row>
    <row r="37" spans="1:22" x14ac:dyDescent="0.3">
      <c r="A37">
        <v>50035</v>
      </c>
      <c r="B37" t="s">
        <v>768</v>
      </c>
      <c r="C37" t="s">
        <v>908</v>
      </c>
      <c r="D37" t="s">
        <v>1107</v>
      </c>
      <c r="E37" t="s">
        <v>1108</v>
      </c>
      <c r="F37">
        <v>3</v>
      </c>
      <c r="G37">
        <v>2</v>
      </c>
      <c r="H37" t="s">
        <v>792</v>
      </c>
      <c r="I37">
        <v>4.7</v>
      </c>
      <c r="J37">
        <v>3.7</v>
      </c>
      <c r="K37">
        <v>0</v>
      </c>
      <c r="L37" t="s">
        <v>769</v>
      </c>
      <c r="M37" t="s">
        <v>770</v>
      </c>
      <c r="N37" t="s">
        <v>1100</v>
      </c>
      <c r="O37" t="s">
        <v>771</v>
      </c>
      <c r="P37">
        <v>1</v>
      </c>
      <c r="Q37">
        <v>0</v>
      </c>
      <c r="R37" t="s">
        <v>1095</v>
      </c>
      <c r="S37" t="s">
        <v>42</v>
      </c>
      <c r="T37" t="s">
        <v>42</v>
      </c>
      <c r="U37" t="s">
        <v>1096</v>
      </c>
      <c r="V37" t="s">
        <v>1097</v>
      </c>
    </row>
    <row r="38" spans="1:22" x14ac:dyDescent="0.3">
      <c r="A38">
        <v>50036</v>
      </c>
      <c r="B38" t="s">
        <v>772</v>
      </c>
      <c r="C38" t="s">
        <v>909</v>
      </c>
      <c r="D38" t="s">
        <v>1109</v>
      </c>
      <c r="E38" t="s">
        <v>1110</v>
      </c>
      <c r="F38">
        <v>3</v>
      </c>
      <c r="G38">
        <v>2</v>
      </c>
      <c r="H38" t="s">
        <v>792</v>
      </c>
      <c r="I38">
        <v>5.8000000000000007</v>
      </c>
      <c r="J38">
        <v>4.8000000000000007</v>
      </c>
      <c r="K38">
        <v>0</v>
      </c>
      <c r="L38" t="s">
        <v>773</v>
      </c>
      <c r="M38" t="s">
        <v>774</v>
      </c>
      <c r="N38" t="s">
        <v>1100</v>
      </c>
      <c r="O38" t="s">
        <v>775</v>
      </c>
      <c r="P38">
        <v>1</v>
      </c>
      <c r="Q38">
        <v>0</v>
      </c>
      <c r="R38" t="s">
        <v>1095</v>
      </c>
      <c r="S38" t="s">
        <v>42</v>
      </c>
      <c r="T38" t="s">
        <v>42</v>
      </c>
      <c r="U38" t="s">
        <v>1096</v>
      </c>
      <c r="V38" t="s">
        <v>1097</v>
      </c>
    </row>
    <row r="39" spans="1:22" x14ac:dyDescent="0.3">
      <c r="A39">
        <v>50037</v>
      </c>
      <c r="B39" t="s">
        <v>910</v>
      </c>
      <c r="C39" t="s">
        <v>911</v>
      </c>
      <c r="D39" t="s">
        <v>1111</v>
      </c>
      <c r="E39" t="s">
        <v>1112</v>
      </c>
      <c r="F39">
        <v>3</v>
      </c>
      <c r="G39">
        <v>2</v>
      </c>
      <c r="H39" t="s">
        <v>792</v>
      </c>
      <c r="I39">
        <v>6.6000000000000005</v>
      </c>
      <c r="J39">
        <v>5.6000000000000005</v>
      </c>
      <c r="K39">
        <v>0</v>
      </c>
      <c r="L39" t="s">
        <v>776</v>
      </c>
      <c r="M39" t="s">
        <v>777</v>
      </c>
      <c r="N39" t="s">
        <v>1094</v>
      </c>
      <c r="O39" t="s">
        <v>778</v>
      </c>
      <c r="P39">
        <v>1</v>
      </c>
      <c r="Q39">
        <v>0</v>
      </c>
      <c r="R39" t="s">
        <v>1095</v>
      </c>
      <c r="S39" t="s">
        <v>42</v>
      </c>
      <c r="T39" t="s">
        <v>42</v>
      </c>
      <c r="U39" t="s">
        <v>1096</v>
      </c>
      <c r="V39" t="s">
        <v>1097</v>
      </c>
    </row>
    <row r="40" spans="1:22" x14ac:dyDescent="0.3">
      <c r="A40">
        <v>50038</v>
      </c>
      <c r="B40" t="s">
        <v>912</v>
      </c>
      <c r="C40" t="s">
        <v>913</v>
      </c>
      <c r="D40" t="s">
        <v>1113</v>
      </c>
      <c r="E40" t="s">
        <v>1114</v>
      </c>
      <c r="F40">
        <v>3</v>
      </c>
      <c r="G40">
        <v>2</v>
      </c>
      <c r="H40" t="s">
        <v>792</v>
      </c>
      <c r="I40">
        <v>8.6999999999999993</v>
      </c>
      <c r="J40">
        <v>7.7</v>
      </c>
      <c r="K40">
        <v>0</v>
      </c>
      <c r="L40" t="s">
        <v>779</v>
      </c>
      <c r="M40" t="s">
        <v>859</v>
      </c>
      <c r="N40" t="s">
        <v>1094</v>
      </c>
      <c r="O40" t="s">
        <v>860</v>
      </c>
      <c r="P40">
        <v>1</v>
      </c>
      <c r="Q40">
        <v>0</v>
      </c>
      <c r="R40" t="s">
        <v>1095</v>
      </c>
      <c r="S40" t="s">
        <v>42</v>
      </c>
      <c r="T40" t="s">
        <v>42</v>
      </c>
      <c r="U40" t="s">
        <v>1096</v>
      </c>
      <c r="V40" t="s">
        <v>1097</v>
      </c>
    </row>
    <row r="41" spans="1:22" x14ac:dyDescent="0.3">
      <c r="A41">
        <v>50039</v>
      </c>
      <c r="B41" t="s">
        <v>861</v>
      </c>
      <c r="C41" t="s">
        <v>914</v>
      </c>
      <c r="D41" t="s">
        <v>1115</v>
      </c>
      <c r="E41" t="s">
        <v>1116</v>
      </c>
      <c r="F41">
        <v>3</v>
      </c>
      <c r="G41">
        <v>2</v>
      </c>
      <c r="H41" t="s">
        <v>792</v>
      </c>
      <c r="I41">
        <v>4.4000000000000004</v>
      </c>
      <c r="J41">
        <v>3.4000000000000004</v>
      </c>
      <c r="K41">
        <v>0</v>
      </c>
      <c r="L41" t="s">
        <v>780</v>
      </c>
      <c r="M41" t="s">
        <v>770</v>
      </c>
      <c r="N41" t="s">
        <v>1094</v>
      </c>
      <c r="O41" t="s">
        <v>771</v>
      </c>
      <c r="P41">
        <v>1</v>
      </c>
      <c r="Q41">
        <v>0</v>
      </c>
      <c r="R41" t="s">
        <v>1095</v>
      </c>
      <c r="S41" t="s">
        <v>42</v>
      </c>
      <c r="T41" t="s">
        <v>42</v>
      </c>
      <c r="U41" t="s">
        <v>1096</v>
      </c>
      <c r="V41" t="s">
        <v>1097</v>
      </c>
    </row>
    <row r="42" spans="1:22" x14ac:dyDescent="0.3">
      <c r="A42">
        <v>50040</v>
      </c>
      <c r="B42" t="s">
        <v>862</v>
      </c>
      <c r="C42" t="s">
        <v>915</v>
      </c>
      <c r="D42" t="s">
        <v>1117</v>
      </c>
      <c r="E42" t="s">
        <v>1118</v>
      </c>
      <c r="F42">
        <v>3</v>
      </c>
      <c r="G42">
        <v>2</v>
      </c>
      <c r="H42" t="s">
        <v>749</v>
      </c>
      <c r="I42">
        <v>1</v>
      </c>
      <c r="J42">
        <v>10</v>
      </c>
      <c r="K42">
        <v>0</v>
      </c>
      <c r="L42" t="s">
        <v>781</v>
      </c>
      <c r="M42" t="s">
        <v>852</v>
      </c>
      <c r="N42" t="s">
        <v>795</v>
      </c>
      <c r="O42" t="s">
        <v>853</v>
      </c>
      <c r="P42">
        <v>1</v>
      </c>
      <c r="Q42">
        <v>0</v>
      </c>
      <c r="R42" t="s">
        <v>1095</v>
      </c>
      <c r="U42" t="s">
        <v>1096</v>
      </c>
      <c r="V42" t="s">
        <v>1097</v>
      </c>
    </row>
    <row r="43" spans="1:22" x14ac:dyDescent="0.3">
      <c r="A43">
        <v>50041</v>
      </c>
      <c r="B43" t="s">
        <v>863</v>
      </c>
      <c r="C43" t="s">
        <v>916</v>
      </c>
      <c r="D43" t="s">
        <v>1119</v>
      </c>
      <c r="E43" t="s">
        <v>1120</v>
      </c>
      <c r="F43">
        <v>3</v>
      </c>
      <c r="G43">
        <v>2</v>
      </c>
      <c r="H43" t="s">
        <v>715</v>
      </c>
      <c r="I43">
        <v>5.7</v>
      </c>
      <c r="J43">
        <v>4.7</v>
      </c>
      <c r="K43">
        <v>0</v>
      </c>
      <c r="L43" t="s">
        <v>864</v>
      </c>
      <c r="M43" t="s">
        <v>770</v>
      </c>
      <c r="N43" t="s">
        <v>1121</v>
      </c>
      <c r="O43" t="s">
        <v>771</v>
      </c>
      <c r="P43">
        <v>1</v>
      </c>
      <c r="Q43">
        <v>0</v>
      </c>
      <c r="R43" t="s">
        <v>1095</v>
      </c>
      <c r="S43" t="s">
        <v>42</v>
      </c>
      <c r="T43" t="s">
        <v>42</v>
      </c>
    </row>
    <row r="44" spans="1:22" x14ac:dyDescent="0.3">
      <c r="A44">
        <v>50042</v>
      </c>
      <c r="B44" t="s">
        <v>1122</v>
      </c>
      <c r="C44" t="s">
        <v>917</v>
      </c>
      <c r="D44" t="s">
        <v>1123</v>
      </c>
      <c r="E44" t="s">
        <v>1124</v>
      </c>
      <c r="F44">
        <v>3</v>
      </c>
      <c r="G44">
        <v>2</v>
      </c>
      <c r="H44" t="s">
        <v>715</v>
      </c>
      <c r="I44">
        <v>5.7</v>
      </c>
      <c r="J44">
        <v>4.7</v>
      </c>
      <c r="K44">
        <v>0</v>
      </c>
      <c r="L44" t="s">
        <v>918</v>
      </c>
      <c r="M44" t="s">
        <v>770</v>
      </c>
      <c r="N44" t="s">
        <v>1121</v>
      </c>
      <c r="O44" t="s">
        <v>771</v>
      </c>
      <c r="P44">
        <v>1</v>
      </c>
      <c r="Q44">
        <v>0</v>
      </c>
      <c r="R44" t="s">
        <v>1095</v>
      </c>
      <c r="S44" t="s">
        <v>42</v>
      </c>
      <c r="T44" t="s">
        <v>42</v>
      </c>
    </row>
    <row r="45" spans="1:22" x14ac:dyDescent="0.3">
      <c r="A45">
        <v>50043</v>
      </c>
      <c r="B45" t="s">
        <v>1125</v>
      </c>
      <c r="C45" t="s">
        <v>919</v>
      </c>
      <c r="D45" t="s">
        <v>1126</v>
      </c>
      <c r="E45" t="s">
        <v>1127</v>
      </c>
      <c r="F45">
        <v>3</v>
      </c>
      <c r="G45">
        <v>2</v>
      </c>
      <c r="H45" t="s">
        <v>725</v>
      </c>
      <c r="I45">
        <v>5.7</v>
      </c>
      <c r="J45">
        <v>4.7</v>
      </c>
      <c r="K45">
        <v>0</v>
      </c>
      <c r="L45" t="s">
        <v>920</v>
      </c>
      <c r="M45" t="s">
        <v>770</v>
      </c>
      <c r="N45" t="s">
        <v>1128</v>
      </c>
      <c r="O45" t="s">
        <v>771</v>
      </c>
      <c r="P45">
        <v>1</v>
      </c>
      <c r="Q45">
        <v>0</v>
      </c>
      <c r="R45" t="s">
        <v>1095</v>
      </c>
      <c r="S45" t="s">
        <v>42</v>
      </c>
      <c r="T45" t="s">
        <v>42</v>
      </c>
      <c r="U45" t="s">
        <v>1096</v>
      </c>
      <c r="V45" t="s">
        <v>1097</v>
      </c>
    </row>
    <row r="46" spans="1:22" x14ac:dyDescent="0.3">
      <c r="A46">
        <v>50044</v>
      </c>
      <c r="B46" t="s">
        <v>1129</v>
      </c>
      <c r="C46" t="s">
        <v>921</v>
      </c>
      <c r="D46" t="s">
        <v>1130</v>
      </c>
      <c r="E46" t="s">
        <v>1131</v>
      </c>
      <c r="F46">
        <v>3</v>
      </c>
      <c r="G46">
        <v>2</v>
      </c>
      <c r="H46" t="s">
        <v>715</v>
      </c>
      <c r="I46">
        <v>5.7</v>
      </c>
      <c r="J46">
        <v>4.7</v>
      </c>
      <c r="K46">
        <v>0</v>
      </c>
      <c r="L46" t="s">
        <v>922</v>
      </c>
      <c r="M46" t="s">
        <v>770</v>
      </c>
      <c r="N46" t="s">
        <v>1121</v>
      </c>
      <c r="O46" t="s">
        <v>771</v>
      </c>
      <c r="P46">
        <v>1</v>
      </c>
      <c r="Q46">
        <v>0</v>
      </c>
      <c r="R46" t="s">
        <v>1095</v>
      </c>
      <c r="S46" t="s">
        <v>42</v>
      </c>
      <c r="T46" t="s">
        <v>42</v>
      </c>
    </row>
    <row r="47" spans="1:22" x14ac:dyDescent="0.3">
      <c r="A47">
        <v>50045</v>
      </c>
      <c r="B47" t="s">
        <v>1132</v>
      </c>
      <c r="C47" t="s">
        <v>710</v>
      </c>
      <c r="D47" t="s">
        <v>804</v>
      </c>
      <c r="E47" t="s">
        <v>805</v>
      </c>
      <c r="F47">
        <v>1</v>
      </c>
      <c r="G47">
        <v>99</v>
      </c>
      <c r="H47" t="s">
        <v>792</v>
      </c>
      <c r="I47">
        <v>8.8000000000000007</v>
      </c>
      <c r="J47">
        <v>7.8000000000000007</v>
      </c>
      <c r="K47">
        <v>0</v>
      </c>
      <c r="L47" t="s">
        <v>1133</v>
      </c>
      <c r="M47" t="s">
        <v>794</v>
      </c>
      <c r="N47" t="s">
        <v>1033</v>
      </c>
      <c r="O47" t="s">
        <v>796</v>
      </c>
      <c r="P47">
        <v>1</v>
      </c>
      <c r="Q47">
        <v>0</v>
      </c>
      <c r="R47" t="s">
        <v>1034</v>
      </c>
      <c r="S47" t="s">
        <v>42</v>
      </c>
      <c r="T47" t="s">
        <v>42</v>
      </c>
    </row>
    <row r="48" spans="1:22" x14ac:dyDescent="0.3">
      <c r="A48">
        <v>50046</v>
      </c>
      <c r="B48" t="s">
        <v>1134</v>
      </c>
      <c r="C48" t="s">
        <v>712</v>
      </c>
      <c r="D48" t="s">
        <v>809</v>
      </c>
      <c r="E48" t="s">
        <v>810</v>
      </c>
      <c r="F48">
        <v>1</v>
      </c>
      <c r="G48">
        <v>99</v>
      </c>
      <c r="H48" t="s">
        <v>715</v>
      </c>
      <c r="I48">
        <v>8.8000000000000007</v>
      </c>
      <c r="J48">
        <v>7.8000000000000007</v>
      </c>
      <c r="K48">
        <v>0</v>
      </c>
      <c r="L48" t="s">
        <v>923</v>
      </c>
      <c r="M48" t="s">
        <v>1135</v>
      </c>
      <c r="N48" t="s">
        <v>1136</v>
      </c>
      <c r="O48" t="s">
        <v>1137</v>
      </c>
      <c r="P48">
        <v>1</v>
      </c>
      <c r="Q48">
        <v>0</v>
      </c>
      <c r="R48" t="s">
        <v>1138</v>
      </c>
      <c r="S48" t="s">
        <v>42</v>
      </c>
      <c r="T48" t="s">
        <v>42</v>
      </c>
    </row>
    <row r="49" spans="1:22" x14ac:dyDescent="0.3">
      <c r="A49">
        <v>50047</v>
      </c>
      <c r="B49" t="s">
        <v>1139</v>
      </c>
      <c r="C49" t="s">
        <v>714</v>
      </c>
      <c r="D49" t="s">
        <v>814</v>
      </c>
      <c r="E49" t="s">
        <v>815</v>
      </c>
      <c r="F49">
        <v>1</v>
      </c>
      <c r="G49">
        <v>99</v>
      </c>
      <c r="H49" t="s">
        <v>715</v>
      </c>
      <c r="I49">
        <v>8.8000000000000007</v>
      </c>
      <c r="J49">
        <v>7.8000000000000007</v>
      </c>
      <c r="K49">
        <v>0</v>
      </c>
      <c r="L49" t="s">
        <v>924</v>
      </c>
      <c r="M49" t="s">
        <v>1135</v>
      </c>
      <c r="N49" t="s">
        <v>1136</v>
      </c>
      <c r="O49" t="s">
        <v>1137</v>
      </c>
      <c r="P49">
        <v>1</v>
      </c>
      <c r="Q49">
        <v>0</v>
      </c>
      <c r="R49" t="s">
        <v>1138</v>
      </c>
      <c r="S49" t="s">
        <v>42</v>
      </c>
      <c r="T49" t="s">
        <v>42</v>
      </c>
    </row>
    <row r="50" spans="1:22" x14ac:dyDescent="0.3">
      <c r="A50">
        <v>50048</v>
      </c>
      <c r="B50" t="s">
        <v>1140</v>
      </c>
      <c r="C50" t="s">
        <v>717</v>
      </c>
      <c r="D50" t="s">
        <v>819</v>
      </c>
      <c r="E50" t="s">
        <v>820</v>
      </c>
      <c r="F50">
        <v>1</v>
      </c>
      <c r="G50">
        <v>99</v>
      </c>
      <c r="H50" t="s">
        <v>715</v>
      </c>
      <c r="I50">
        <v>8.8000000000000007</v>
      </c>
      <c r="J50">
        <v>7.8000000000000007</v>
      </c>
      <c r="K50">
        <v>0</v>
      </c>
      <c r="L50" t="s">
        <v>925</v>
      </c>
      <c r="M50" t="s">
        <v>1135</v>
      </c>
      <c r="N50" t="s">
        <v>1136</v>
      </c>
      <c r="O50" t="s">
        <v>1137</v>
      </c>
      <c r="P50">
        <v>1</v>
      </c>
      <c r="Q50">
        <v>0</v>
      </c>
      <c r="R50" t="s">
        <v>1138</v>
      </c>
      <c r="S50" t="s">
        <v>42</v>
      </c>
      <c r="T50" t="s">
        <v>42</v>
      </c>
    </row>
    <row r="51" spans="1:22" x14ac:dyDescent="0.3">
      <c r="A51">
        <v>50049</v>
      </c>
      <c r="B51" t="s">
        <v>1141</v>
      </c>
      <c r="C51" t="s">
        <v>719</v>
      </c>
      <c r="D51" t="s">
        <v>822</v>
      </c>
      <c r="E51" t="s">
        <v>823</v>
      </c>
      <c r="F51">
        <v>1</v>
      </c>
      <c r="G51">
        <v>99</v>
      </c>
      <c r="H51" t="s">
        <v>792</v>
      </c>
      <c r="I51">
        <v>8.8000000000000007</v>
      </c>
      <c r="J51">
        <v>7.8000000000000007</v>
      </c>
      <c r="K51">
        <v>0</v>
      </c>
      <c r="L51" t="s">
        <v>926</v>
      </c>
      <c r="M51" t="s">
        <v>1135</v>
      </c>
      <c r="N51" t="s">
        <v>927</v>
      </c>
      <c r="O51" t="s">
        <v>1137</v>
      </c>
      <c r="P51">
        <v>1</v>
      </c>
      <c r="Q51">
        <v>0</v>
      </c>
      <c r="R51" t="s">
        <v>1138</v>
      </c>
      <c r="S51" t="s">
        <v>42</v>
      </c>
      <c r="T51" t="s">
        <v>42</v>
      </c>
    </row>
    <row r="52" spans="1:22" x14ac:dyDescent="0.3">
      <c r="A52">
        <v>50050</v>
      </c>
      <c r="B52" t="s">
        <v>1142</v>
      </c>
      <c r="C52" t="s">
        <v>722</v>
      </c>
      <c r="D52" t="s">
        <v>827</v>
      </c>
      <c r="E52" t="s">
        <v>828</v>
      </c>
      <c r="F52">
        <v>1</v>
      </c>
      <c r="G52">
        <v>99</v>
      </c>
      <c r="H52" t="s">
        <v>792</v>
      </c>
      <c r="I52">
        <v>8.8000000000000007</v>
      </c>
      <c r="J52">
        <v>7.8000000000000007</v>
      </c>
      <c r="K52">
        <v>0</v>
      </c>
      <c r="L52" t="s">
        <v>928</v>
      </c>
      <c r="M52" t="s">
        <v>1135</v>
      </c>
      <c r="N52" t="s">
        <v>927</v>
      </c>
      <c r="O52" t="s">
        <v>1137</v>
      </c>
      <c r="P52">
        <v>1</v>
      </c>
      <c r="Q52">
        <v>0</v>
      </c>
      <c r="R52" t="s">
        <v>1138</v>
      </c>
      <c r="S52" t="s">
        <v>42</v>
      </c>
      <c r="T52" t="s">
        <v>42</v>
      </c>
    </row>
    <row r="53" spans="1:22" x14ac:dyDescent="0.3">
      <c r="A53">
        <v>50051</v>
      </c>
      <c r="B53" t="s">
        <v>1142</v>
      </c>
      <c r="C53" t="s">
        <v>724</v>
      </c>
      <c r="D53" t="s">
        <v>830</v>
      </c>
      <c r="E53" t="s">
        <v>831</v>
      </c>
      <c r="F53">
        <v>1</v>
      </c>
      <c r="G53">
        <v>99</v>
      </c>
      <c r="H53" t="s">
        <v>792</v>
      </c>
      <c r="I53">
        <v>8.8000000000000007</v>
      </c>
      <c r="J53">
        <v>7.8000000000000007</v>
      </c>
      <c r="K53">
        <v>0</v>
      </c>
      <c r="L53" t="s">
        <v>929</v>
      </c>
      <c r="M53" t="s">
        <v>1135</v>
      </c>
      <c r="N53" t="s">
        <v>927</v>
      </c>
      <c r="O53" t="s">
        <v>1137</v>
      </c>
      <c r="P53">
        <v>1</v>
      </c>
      <c r="Q53">
        <v>0</v>
      </c>
      <c r="R53" t="s">
        <v>1138</v>
      </c>
      <c r="S53" t="s">
        <v>42</v>
      </c>
      <c r="T53" t="s">
        <v>42</v>
      </c>
    </row>
    <row r="54" spans="1:22" x14ac:dyDescent="0.3">
      <c r="A54">
        <v>50052</v>
      </c>
      <c r="B54" t="s">
        <v>1143</v>
      </c>
      <c r="C54" t="s">
        <v>727</v>
      </c>
      <c r="D54" t="s">
        <v>835</v>
      </c>
      <c r="E54" t="s">
        <v>836</v>
      </c>
      <c r="F54">
        <v>1</v>
      </c>
      <c r="G54">
        <v>99</v>
      </c>
      <c r="H54" t="s">
        <v>715</v>
      </c>
      <c r="I54">
        <v>8.8000000000000007</v>
      </c>
      <c r="J54">
        <v>7.8000000000000007</v>
      </c>
      <c r="K54">
        <v>0</v>
      </c>
      <c r="L54" t="s">
        <v>930</v>
      </c>
      <c r="M54" t="s">
        <v>1135</v>
      </c>
      <c r="N54" t="s">
        <v>1144</v>
      </c>
      <c r="O54" t="s">
        <v>1137</v>
      </c>
      <c r="P54">
        <v>1</v>
      </c>
      <c r="Q54">
        <v>0</v>
      </c>
      <c r="R54" t="s">
        <v>1138</v>
      </c>
      <c r="S54" t="s">
        <v>42</v>
      </c>
      <c r="T54" t="s">
        <v>42</v>
      </c>
    </row>
    <row r="55" spans="1:22" x14ac:dyDescent="0.3">
      <c r="A55">
        <v>50053</v>
      </c>
      <c r="B55" t="s">
        <v>931</v>
      </c>
      <c r="C55" t="s">
        <v>1145</v>
      </c>
      <c r="D55" t="s">
        <v>1146</v>
      </c>
      <c r="E55" t="s">
        <v>1147</v>
      </c>
      <c r="F55">
        <v>4</v>
      </c>
      <c r="G55">
        <v>3</v>
      </c>
      <c r="H55" t="s">
        <v>792</v>
      </c>
      <c r="I55">
        <v>8.8000000000000007</v>
      </c>
      <c r="J55">
        <v>7.8000000000000007</v>
      </c>
      <c r="K55">
        <v>0</v>
      </c>
      <c r="L55" t="s">
        <v>932</v>
      </c>
      <c r="M55" t="s">
        <v>933</v>
      </c>
      <c r="N55" t="s">
        <v>1148</v>
      </c>
      <c r="O55" t="s">
        <v>934</v>
      </c>
      <c r="P55">
        <v>1</v>
      </c>
      <c r="Q55">
        <v>0</v>
      </c>
      <c r="R55" t="s">
        <v>1149</v>
      </c>
      <c r="S55" t="s">
        <v>42</v>
      </c>
      <c r="T55" t="s">
        <v>42</v>
      </c>
      <c r="U55" t="s">
        <v>1150</v>
      </c>
      <c r="V55" t="s">
        <v>1151</v>
      </c>
    </row>
    <row r="56" spans="1:22" x14ac:dyDescent="0.3">
      <c r="A56">
        <v>50054</v>
      </c>
      <c r="B56" t="s">
        <v>935</v>
      </c>
      <c r="C56" t="s">
        <v>936</v>
      </c>
      <c r="D56" t="s">
        <v>1152</v>
      </c>
      <c r="E56" t="s">
        <v>1153</v>
      </c>
      <c r="F56">
        <v>4</v>
      </c>
      <c r="G56">
        <v>3</v>
      </c>
      <c r="H56" t="s">
        <v>792</v>
      </c>
      <c r="I56">
        <v>8.8000000000000007</v>
      </c>
      <c r="J56">
        <v>7.8000000000000007</v>
      </c>
      <c r="K56">
        <v>0</v>
      </c>
      <c r="L56" t="s">
        <v>937</v>
      </c>
      <c r="M56" t="s">
        <v>938</v>
      </c>
      <c r="N56" t="s">
        <v>1148</v>
      </c>
      <c r="O56" t="s">
        <v>939</v>
      </c>
      <c r="P56">
        <v>1</v>
      </c>
      <c r="Q56">
        <v>0</v>
      </c>
      <c r="R56" t="s">
        <v>1149</v>
      </c>
      <c r="S56" t="s">
        <v>42</v>
      </c>
      <c r="T56" t="s">
        <v>42</v>
      </c>
      <c r="U56" t="s">
        <v>1150</v>
      </c>
      <c r="V56" t="s">
        <v>1151</v>
      </c>
    </row>
    <row r="57" spans="1:22" x14ac:dyDescent="0.3">
      <c r="A57">
        <v>50055</v>
      </c>
      <c r="B57" t="s">
        <v>940</v>
      </c>
      <c r="C57" t="s">
        <v>941</v>
      </c>
      <c r="D57" t="s">
        <v>1154</v>
      </c>
      <c r="E57" t="s">
        <v>1155</v>
      </c>
      <c r="F57">
        <v>4</v>
      </c>
      <c r="G57">
        <v>3</v>
      </c>
      <c r="H57" t="s">
        <v>792</v>
      </c>
      <c r="I57">
        <v>8.8000000000000007</v>
      </c>
      <c r="J57">
        <v>7.8000000000000007</v>
      </c>
      <c r="K57">
        <v>0</v>
      </c>
      <c r="L57" t="s">
        <v>942</v>
      </c>
      <c r="M57" t="s">
        <v>943</v>
      </c>
      <c r="N57" t="s">
        <v>1156</v>
      </c>
      <c r="O57" t="s">
        <v>944</v>
      </c>
      <c r="P57">
        <v>1</v>
      </c>
      <c r="Q57">
        <v>0</v>
      </c>
      <c r="R57" t="s">
        <v>1149</v>
      </c>
      <c r="S57" t="s">
        <v>42</v>
      </c>
      <c r="T57" t="s">
        <v>42</v>
      </c>
      <c r="U57" t="s">
        <v>1150</v>
      </c>
      <c r="V57" t="s">
        <v>1151</v>
      </c>
    </row>
    <row r="58" spans="1:22" x14ac:dyDescent="0.3">
      <c r="A58">
        <v>50056</v>
      </c>
      <c r="B58" t="s">
        <v>945</v>
      </c>
      <c r="C58" t="s">
        <v>946</v>
      </c>
      <c r="D58" t="s">
        <v>1157</v>
      </c>
      <c r="E58" t="s">
        <v>1158</v>
      </c>
      <c r="F58">
        <v>4</v>
      </c>
      <c r="G58">
        <v>3</v>
      </c>
      <c r="H58" t="s">
        <v>725</v>
      </c>
      <c r="I58">
        <v>8.8000000000000007</v>
      </c>
      <c r="J58">
        <v>7.8000000000000007</v>
      </c>
      <c r="K58">
        <v>0</v>
      </c>
      <c r="L58" t="s">
        <v>947</v>
      </c>
      <c r="M58" t="s">
        <v>948</v>
      </c>
      <c r="N58" t="s">
        <v>1156</v>
      </c>
      <c r="O58" t="s">
        <v>949</v>
      </c>
      <c r="P58">
        <v>1</v>
      </c>
      <c r="Q58">
        <v>0</v>
      </c>
      <c r="R58" t="s">
        <v>1149</v>
      </c>
      <c r="S58" t="s">
        <v>42</v>
      </c>
      <c r="T58" t="s">
        <v>42</v>
      </c>
      <c r="U58" t="s">
        <v>1150</v>
      </c>
      <c r="V58" t="s">
        <v>1151</v>
      </c>
    </row>
    <row r="59" spans="1:22" x14ac:dyDescent="0.3">
      <c r="A59">
        <v>50057</v>
      </c>
      <c r="B59" t="s">
        <v>950</v>
      </c>
      <c r="C59" t="s">
        <v>951</v>
      </c>
      <c r="D59" t="s">
        <v>1159</v>
      </c>
      <c r="E59" t="s">
        <v>1160</v>
      </c>
      <c r="F59">
        <v>4</v>
      </c>
      <c r="G59">
        <v>3</v>
      </c>
      <c r="H59" t="s">
        <v>725</v>
      </c>
      <c r="I59">
        <v>8.8000000000000007</v>
      </c>
      <c r="J59">
        <v>7.8000000000000007</v>
      </c>
      <c r="K59">
        <v>0</v>
      </c>
      <c r="L59" t="s">
        <v>952</v>
      </c>
      <c r="M59" t="s">
        <v>953</v>
      </c>
      <c r="N59" t="s">
        <v>1156</v>
      </c>
      <c r="O59" t="s">
        <v>954</v>
      </c>
      <c r="P59">
        <v>1</v>
      </c>
      <c r="Q59">
        <v>0</v>
      </c>
      <c r="R59" t="s">
        <v>1149</v>
      </c>
      <c r="S59" t="s">
        <v>42</v>
      </c>
      <c r="T59" t="s">
        <v>42</v>
      </c>
      <c r="U59" t="s">
        <v>1150</v>
      </c>
      <c r="V59" t="s">
        <v>1151</v>
      </c>
    </row>
    <row r="60" spans="1:22" x14ac:dyDescent="0.3">
      <c r="A60">
        <v>50058</v>
      </c>
      <c r="B60" t="s">
        <v>955</v>
      </c>
      <c r="C60" t="s">
        <v>956</v>
      </c>
      <c r="D60" t="s">
        <v>1161</v>
      </c>
      <c r="E60" t="s">
        <v>1162</v>
      </c>
      <c r="F60">
        <v>4</v>
      </c>
      <c r="G60">
        <v>3</v>
      </c>
      <c r="H60" t="s">
        <v>792</v>
      </c>
      <c r="I60">
        <v>8.8000000000000007</v>
      </c>
      <c r="J60">
        <v>7.8000000000000007</v>
      </c>
      <c r="K60">
        <v>0</v>
      </c>
      <c r="L60" t="s">
        <v>957</v>
      </c>
      <c r="M60" t="s">
        <v>958</v>
      </c>
      <c r="N60" t="s">
        <v>1148</v>
      </c>
      <c r="O60" t="s">
        <v>959</v>
      </c>
      <c r="P60">
        <v>1</v>
      </c>
      <c r="Q60">
        <v>0</v>
      </c>
      <c r="R60" t="s">
        <v>1149</v>
      </c>
      <c r="S60" t="s">
        <v>42</v>
      </c>
      <c r="T60" t="s">
        <v>42</v>
      </c>
      <c r="U60" t="s">
        <v>1150</v>
      </c>
      <c r="V60" t="s">
        <v>1151</v>
      </c>
    </row>
    <row r="61" spans="1:22" x14ac:dyDescent="0.3">
      <c r="A61">
        <v>50059</v>
      </c>
      <c r="B61" t="s">
        <v>960</v>
      </c>
      <c r="C61" t="s">
        <v>961</v>
      </c>
      <c r="D61" t="s">
        <v>1163</v>
      </c>
      <c r="E61" t="s">
        <v>1164</v>
      </c>
      <c r="F61">
        <v>4</v>
      </c>
      <c r="G61">
        <v>3</v>
      </c>
      <c r="H61" t="s">
        <v>749</v>
      </c>
      <c r="I61">
        <v>8.8000000000000007</v>
      </c>
      <c r="J61">
        <v>7.8000000000000007</v>
      </c>
      <c r="K61">
        <v>0</v>
      </c>
      <c r="L61" t="s">
        <v>962</v>
      </c>
      <c r="M61" t="s">
        <v>963</v>
      </c>
      <c r="N61" t="s">
        <v>795</v>
      </c>
      <c r="O61" t="s">
        <v>964</v>
      </c>
      <c r="P61">
        <v>1</v>
      </c>
      <c r="Q61">
        <v>0</v>
      </c>
      <c r="R61" t="s">
        <v>1149</v>
      </c>
      <c r="S61" t="s">
        <v>42</v>
      </c>
      <c r="T61" t="s">
        <v>42</v>
      </c>
      <c r="U61" t="s">
        <v>1150</v>
      </c>
      <c r="V61" t="s">
        <v>1151</v>
      </c>
    </row>
    <row r="62" spans="1:22" x14ac:dyDescent="0.3">
      <c r="A62">
        <v>50060</v>
      </c>
      <c r="B62" t="s">
        <v>1165</v>
      </c>
      <c r="C62" t="s">
        <v>965</v>
      </c>
      <c r="D62" t="s">
        <v>1166</v>
      </c>
      <c r="E62" t="s">
        <v>1167</v>
      </c>
      <c r="F62">
        <v>4</v>
      </c>
      <c r="G62">
        <v>3</v>
      </c>
      <c r="H62" t="s">
        <v>792</v>
      </c>
      <c r="I62">
        <v>8.8000000000000007</v>
      </c>
      <c r="J62">
        <v>7.8000000000000007</v>
      </c>
      <c r="K62">
        <v>0</v>
      </c>
      <c r="L62" t="s">
        <v>966</v>
      </c>
      <c r="M62" t="s">
        <v>958</v>
      </c>
      <c r="N62" t="s">
        <v>1148</v>
      </c>
      <c r="O62" t="s">
        <v>959</v>
      </c>
      <c r="P62">
        <v>1</v>
      </c>
      <c r="Q62">
        <v>0</v>
      </c>
      <c r="R62" t="s">
        <v>1149</v>
      </c>
      <c r="S62" t="s">
        <v>42</v>
      </c>
      <c r="T62" t="s">
        <v>42</v>
      </c>
      <c r="U62" t="s">
        <v>1150</v>
      </c>
      <c r="V62" t="s">
        <v>1151</v>
      </c>
    </row>
    <row r="63" spans="1:22" x14ac:dyDescent="0.3">
      <c r="A63">
        <v>50061</v>
      </c>
      <c r="B63" t="s">
        <v>967</v>
      </c>
      <c r="C63" t="s">
        <v>968</v>
      </c>
      <c r="D63" t="s">
        <v>1168</v>
      </c>
      <c r="E63" t="s">
        <v>1169</v>
      </c>
      <c r="F63">
        <v>4</v>
      </c>
      <c r="G63">
        <v>3</v>
      </c>
      <c r="H63" t="s">
        <v>792</v>
      </c>
      <c r="I63">
        <v>8.8000000000000007</v>
      </c>
      <c r="J63">
        <v>7.8000000000000007</v>
      </c>
      <c r="K63">
        <v>0</v>
      </c>
      <c r="L63" t="s">
        <v>969</v>
      </c>
      <c r="M63" t="s">
        <v>970</v>
      </c>
      <c r="N63" t="s">
        <v>1148</v>
      </c>
      <c r="O63" t="s">
        <v>971</v>
      </c>
      <c r="P63">
        <v>1</v>
      </c>
      <c r="Q63">
        <v>0</v>
      </c>
      <c r="R63" t="s">
        <v>1149</v>
      </c>
      <c r="S63" t="s">
        <v>42</v>
      </c>
      <c r="T63" t="s">
        <v>42</v>
      </c>
      <c r="U63" t="s">
        <v>1150</v>
      </c>
      <c r="V63" t="s">
        <v>1151</v>
      </c>
    </row>
    <row r="64" spans="1:22" x14ac:dyDescent="0.3">
      <c r="A64">
        <v>50062</v>
      </c>
      <c r="B64" t="s">
        <v>972</v>
      </c>
      <c r="C64" t="s">
        <v>973</v>
      </c>
      <c r="D64" t="s">
        <v>1170</v>
      </c>
      <c r="E64" t="s">
        <v>1171</v>
      </c>
      <c r="F64">
        <v>4</v>
      </c>
      <c r="G64">
        <v>3</v>
      </c>
      <c r="H64" t="s">
        <v>792</v>
      </c>
      <c r="I64">
        <v>8.8000000000000007</v>
      </c>
      <c r="J64">
        <v>7.8000000000000007</v>
      </c>
      <c r="K64">
        <v>0</v>
      </c>
      <c r="L64" t="s">
        <v>974</v>
      </c>
      <c r="M64" t="s">
        <v>975</v>
      </c>
      <c r="N64" t="s">
        <v>1148</v>
      </c>
      <c r="O64" t="s">
        <v>976</v>
      </c>
      <c r="P64">
        <v>1</v>
      </c>
      <c r="Q64">
        <v>0</v>
      </c>
      <c r="R64" t="s">
        <v>1149</v>
      </c>
      <c r="S64" t="s">
        <v>42</v>
      </c>
      <c r="T64" t="s">
        <v>42</v>
      </c>
      <c r="U64" t="s">
        <v>1150</v>
      </c>
      <c r="V64" t="s">
        <v>1151</v>
      </c>
    </row>
    <row r="65" spans="1:22" x14ac:dyDescent="0.3">
      <c r="A65">
        <v>50063</v>
      </c>
      <c r="B65" t="s">
        <v>977</v>
      </c>
      <c r="C65" t="s">
        <v>978</v>
      </c>
      <c r="D65" t="s">
        <v>1172</v>
      </c>
      <c r="E65" t="s">
        <v>1173</v>
      </c>
      <c r="F65">
        <v>4</v>
      </c>
      <c r="G65">
        <v>3</v>
      </c>
      <c r="H65" t="s">
        <v>792</v>
      </c>
      <c r="I65">
        <v>8.8000000000000007</v>
      </c>
      <c r="J65">
        <v>7.8000000000000007</v>
      </c>
      <c r="K65">
        <v>0</v>
      </c>
      <c r="L65" t="s">
        <v>979</v>
      </c>
      <c r="M65" t="s">
        <v>980</v>
      </c>
      <c r="N65" t="s">
        <v>1148</v>
      </c>
      <c r="O65" t="s">
        <v>981</v>
      </c>
      <c r="P65">
        <v>1</v>
      </c>
      <c r="Q65">
        <v>0</v>
      </c>
      <c r="R65" t="s">
        <v>1149</v>
      </c>
      <c r="S65" t="s">
        <v>42</v>
      </c>
      <c r="T65" t="s">
        <v>42</v>
      </c>
      <c r="U65" t="s">
        <v>1150</v>
      </c>
      <c r="V65" t="s">
        <v>1151</v>
      </c>
    </row>
    <row r="66" spans="1:22" x14ac:dyDescent="0.3">
      <c r="A66">
        <v>50064</v>
      </c>
      <c r="B66" t="s">
        <v>982</v>
      </c>
      <c r="C66" t="s">
        <v>983</v>
      </c>
      <c r="D66" t="s">
        <v>1174</v>
      </c>
      <c r="E66" t="s">
        <v>1175</v>
      </c>
      <c r="F66">
        <v>4</v>
      </c>
      <c r="G66">
        <v>3</v>
      </c>
      <c r="H66" t="s">
        <v>792</v>
      </c>
      <c r="I66">
        <v>8.8000000000000007</v>
      </c>
      <c r="J66">
        <v>7.8000000000000007</v>
      </c>
      <c r="K66">
        <v>0</v>
      </c>
      <c r="L66" t="s">
        <v>984</v>
      </c>
      <c r="M66" t="s">
        <v>985</v>
      </c>
      <c r="N66" t="s">
        <v>1156</v>
      </c>
      <c r="O66" t="s">
        <v>986</v>
      </c>
      <c r="P66">
        <v>1</v>
      </c>
      <c r="Q66">
        <v>0</v>
      </c>
      <c r="R66" t="s">
        <v>1149</v>
      </c>
      <c r="S66" t="s">
        <v>42</v>
      </c>
      <c r="T66" t="s">
        <v>42</v>
      </c>
      <c r="U66" t="s">
        <v>1150</v>
      </c>
      <c r="V66" t="s">
        <v>1151</v>
      </c>
    </row>
    <row r="67" spans="1:22" x14ac:dyDescent="0.3">
      <c r="A67">
        <v>50065</v>
      </c>
      <c r="B67" t="s">
        <v>987</v>
      </c>
      <c r="C67" t="s">
        <v>988</v>
      </c>
      <c r="D67" t="s">
        <v>1176</v>
      </c>
      <c r="E67" t="s">
        <v>1177</v>
      </c>
      <c r="F67">
        <v>4</v>
      </c>
      <c r="G67">
        <v>3</v>
      </c>
      <c r="H67" t="s">
        <v>792</v>
      </c>
      <c r="I67">
        <v>8.8000000000000007</v>
      </c>
      <c r="J67">
        <v>7.8000000000000007</v>
      </c>
      <c r="K67">
        <v>0</v>
      </c>
      <c r="L67" t="s">
        <v>989</v>
      </c>
      <c r="M67" t="s">
        <v>938</v>
      </c>
      <c r="N67" t="s">
        <v>1156</v>
      </c>
      <c r="O67" t="s">
        <v>939</v>
      </c>
      <c r="P67">
        <v>1</v>
      </c>
      <c r="Q67">
        <v>0</v>
      </c>
      <c r="R67" t="s">
        <v>1149</v>
      </c>
      <c r="S67" t="s">
        <v>42</v>
      </c>
      <c r="T67" t="s">
        <v>42</v>
      </c>
      <c r="U67" t="s">
        <v>1150</v>
      </c>
      <c r="V67" t="s">
        <v>1151</v>
      </c>
    </row>
    <row r="68" spans="1:22" x14ac:dyDescent="0.3">
      <c r="A68">
        <v>50066</v>
      </c>
      <c r="B68" t="s">
        <v>990</v>
      </c>
      <c r="C68" t="s">
        <v>991</v>
      </c>
      <c r="D68" t="s">
        <v>1178</v>
      </c>
      <c r="E68" t="s">
        <v>1179</v>
      </c>
      <c r="F68">
        <v>4</v>
      </c>
      <c r="G68">
        <v>3</v>
      </c>
      <c r="H68" t="s">
        <v>792</v>
      </c>
      <c r="I68">
        <v>8.8000000000000007</v>
      </c>
      <c r="J68">
        <v>7.8000000000000007</v>
      </c>
      <c r="K68">
        <v>0</v>
      </c>
      <c r="L68" t="s">
        <v>992</v>
      </c>
      <c r="M68" t="s">
        <v>943</v>
      </c>
      <c r="N68" t="s">
        <v>1148</v>
      </c>
      <c r="O68" t="s">
        <v>944</v>
      </c>
      <c r="P68">
        <v>1</v>
      </c>
      <c r="Q68">
        <v>0</v>
      </c>
      <c r="R68" t="s">
        <v>1149</v>
      </c>
      <c r="S68" t="s">
        <v>42</v>
      </c>
      <c r="T68" t="s">
        <v>42</v>
      </c>
      <c r="U68" t="s">
        <v>1150</v>
      </c>
      <c r="V68" t="s">
        <v>1151</v>
      </c>
    </row>
    <row r="69" spans="1:22" x14ac:dyDescent="0.3">
      <c r="A69">
        <v>50067</v>
      </c>
      <c r="B69" t="s">
        <v>993</v>
      </c>
      <c r="C69" t="s">
        <v>994</v>
      </c>
      <c r="D69" t="s">
        <v>1180</v>
      </c>
      <c r="E69" t="s">
        <v>1181</v>
      </c>
      <c r="F69">
        <v>4</v>
      </c>
      <c r="G69">
        <v>3</v>
      </c>
      <c r="H69" t="s">
        <v>725</v>
      </c>
      <c r="I69">
        <v>8.8000000000000007</v>
      </c>
      <c r="J69">
        <v>7.8000000000000007</v>
      </c>
      <c r="K69">
        <v>0</v>
      </c>
      <c r="L69" t="s">
        <v>995</v>
      </c>
      <c r="M69" t="s">
        <v>953</v>
      </c>
      <c r="N69" t="s">
        <v>1156</v>
      </c>
      <c r="O69" t="s">
        <v>954</v>
      </c>
      <c r="P69">
        <v>1</v>
      </c>
      <c r="Q69">
        <v>0</v>
      </c>
      <c r="R69" t="s">
        <v>1149</v>
      </c>
      <c r="S69" t="s">
        <v>42</v>
      </c>
      <c r="T69" t="s">
        <v>42</v>
      </c>
      <c r="U69" t="s">
        <v>1150</v>
      </c>
      <c r="V69" t="s">
        <v>1151</v>
      </c>
    </row>
    <row r="70" spans="1:22" x14ac:dyDescent="0.3">
      <c r="A70">
        <v>50068</v>
      </c>
      <c r="B70" t="s">
        <v>996</v>
      </c>
      <c r="C70" t="s">
        <v>997</v>
      </c>
      <c r="D70" t="s">
        <v>1182</v>
      </c>
      <c r="E70" t="s">
        <v>1183</v>
      </c>
      <c r="F70">
        <v>4</v>
      </c>
      <c r="G70">
        <v>3</v>
      </c>
      <c r="H70" t="s">
        <v>792</v>
      </c>
      <c r="I70">
        <v>8.8000000000000007</v>
      </c>
      <c r="J70">
        <v>7.8000000000000007</v>
      </c>
      <c r="K70">
        <v>0</v>
      </c>
      <c r="L70" t="s">
        <v>998</v>
      </c>
      <c r="M70" t="s">
        <v>1184</v>
      </c>
      <c r="N70" t="s">
        <v>1148</v>
      </c>
      <c r="O70" t="s">
        <v>1185</v>
      </c>
      <c r="P70">
        <v>1</v>
      </c>
      <c r="Q70">
        <v>0</v>
      </c>
      <c r="R70" t="s">
        <v>1149</v>
      </c>
      <c r="S70" t="s">
        <v>42</v>
      </c>
      <c r="T70" t="s">
        <v>42</v>
      </c>
      <c r="U70" t="s">
        <v>1150</v>
      </c>
      <c r="V70" t="s">
        <v>1151</v>
      </c>
    </row>
    <row r="71" spans="1:22" x14ac:dyDescent="0.3">
      <c r="A71">
        <v>50069</v>
      </c>
      <c r="B71" t="s">
        <v>999</v>
      </c>
      <c r="C71" t="s">
        <v>1000</v>
      </c>
      <c r="D71" t="s">
        <v>1186</v>
      </c>
      <c r="E71" t="s">
        <v>1187</v>
      </c>
      <c r="F71">
        <v>4</v>
      </c>
      <c r="G71">
        <v>3</v>
      </c>
      <c r="H71" t="s">
        <v>715</v>
      </c>
      <c r="I71">
        <v>8.8000000000000007</v>
      </c>
      <c r="J71">
        <v>7.8000000000000007</v>
      </c>
      <c r="K71">
        <v>0</v>
      </c>
      <c r="L71" t="s">
        <v>1001</v>
      </c>
      <c r="M71" t="s">
        <v>1188</v>
      </c>
      <c r="N71" t="s">
        <v>1189</v>
      </c>
      <c r="O71" t="s">
        <v>1190</v>
      </c>
      <c r="P71">
        <v>1</v>
      </c>
      <c r="Q71">
        <v>0</v>
      </c>
      <c r="R71" t="s">
        <v>1149</v>
      </c>
      <c r="S71" t="s">
        <v>42</v>
      </c>
      <c r="T71" t="s">
        <v>42</v>
      </c>
    </row>
    <row r="72" spans="1:22" x14ac:dyDescent="0.3">
      <c r="A72">
        <v>50070</v>
      </c>
      <c r="B72" t="s">
        <v>1002</v>
      </c>
      <c r="C72" t="s">
        <v>1003</v>
      </c>
      <c r="D72" t="s">
        <v>1191</v>
      </c>
      <c r="E72" t="s">
        <v>1192</v>
      </c>
      <c r="F72">
        <v>4</v>
      </c>
      <c r="G72">
        <v>3</v>
      </c>
      <c r="H72" t="s">
        <v>715</v>
      </c>
      <c r="I72">
        <v>8.8000000000000007</v>
      </c>
      <c r="J72">
        <v>7.8000000000000007</v>
      </c>
      <c r="K72">
        <v>0</v>
      </c>
      <c r="L72" t="s">
        <v>1004</v>
      </c>
      <c r="M72" t="s">
        <v>1188</v>
      </c>
      <c r="N72" t="s">
        <v>1189</v>
      </c>
      <c r="O72" t="s">
        <v>1190</v>
      </c>
      <c r="P72">
        <v>1</v>
      </c>
      <c r="Q72">
        <v>0</v>
      </c>
      <c r="R72" t="s">
        <v>1149</v>
      </c>
      <c r="S72" t="s">
        <v>42</v>
      </c>
      <c r="T72" t="s">
        <v>42</v>
      </c>
    </row>
    <row r="73" spans="1:22" x14ac:dyDescent="0.3">
      <c r="A73">
        <v>50071</v>
      </c>
      <c r="B73" t="s">
        <v>1005</v>
      </c>
      <c r="C73" t="s">
        <v>1006</v>
      </c>
      <c r="D73" t="s">
        <v>1193</v>
      </c>
      <c r="E73" t="s">
        <v>1194</v>
      </c>
      <c r="F73">
        <v>4</v>
      </c>
      <c r="G73">
        <v>3</v>
      </c>
      <c r="H73" t="s">
        <v>1007</v>
      </c>
      <c r="I73">
        <v>8.8000000000000007</v>
      </c>
      <c r="J73">
        <v>7.8000000000000007</v>
      </c>
      <c r="K73">
        <v>0</v>
      </c>
      <c r="L73" t="s">
        <v>1008</v>
      </c>
      <c r="M73" t="s">
        <v>1195</v>
      </c>
      <c r="N73" t="s">
        <v>1156</v>
      </c>
      <c r="O73" t="s">
        <v>1196</v>
      </c>
      <c r="P73">
        <v>1</v>
      </c>
      <c r="Q73">
        <v>0</v>
      </c>
      <c r="R73" t="s">
        <v>1149</v>
      </c>
      <c r="S73" t="s">
        <v>42</v>
      </c>
      <c r="T73" t="s">
        <v>42</v>
      </c>
      <c r="U73" t="s">
        <v>1150</v>
      </c>
      <c r="V73" t="s">
        <v>1151</v>
      </c>
    </row>
    <row r="74" spans="1:22" x14ac:dyDescent="0.3">
      <c r="A74">
        <v>50072</v>
      </c>
      <c r="B74" t="s">
        <v>1009</v>
      </c>
      <c r="C74" t="s">
        <v>1010</v>
      </c>
      <c r="D74" t="s">
        <v>1197</v>
      </c>
      <c r="E74" t="s">
        <v>1198</v>
      </c>
      <c r="F74">
        <v>4</v>
      </c>
      <c r="G74">
        <v>3</v>
      </c>
      <c r="H74" t="s">
        <v>1011</v>
      </c>
      <c r="I74">
        <v>8.8000000000000007</v>
      </c>
      <c r="J74">
        <v>7.8000000000000007</v>
      </c>
      <c r="K74">
        <v>0</v>
      </c>
      <c r="L74" t="s">
        <v>1012</v>
      </c>
      <c r="M74" t="s">
        <v>1188</v>
      </c>
      <c r="N74" t="s">
        <v>1189</v>
      </c>
      <c r="O74" t="s">
        <v>1190</v>
      </c>
      <c r="P74">
        <v>1</v>
      </c>
      <c r="Q74">
        <v>0</v>
      </c>
      <c r="R74" t="s">
        <v>1149</v>
      </c>
      <c r="S74" t="s">
        <v>42</v>
      </c>
      <c r="T74" t="s">
        <v>42</v>
      </c>
    </row>
    <row r="75" spans="1:22" x14ac:dyDescent="0.3">
      <c r="A75">
        <v>50073</v>
      </c>
      <c r="B75" t="s">
        <v>1013</v>
      </c>
      <c r="C75" t="s">
        <v>1014</v>
      </c>
      <c r="D75" t="s">
        <v>1199</v>
      </c>
      <c r="E75" t="s">
        <v>1200</v>
      </c>
      <c r="F75">
        <v>4</v>
      </c>
      <c r="G75">
        <v>3</v>
      </c>
      <c r="H75" t="s">
        <v>715</v>
      </c>
      <c r="I75">
        <v>8.8000000000000007</v>
      </c>
      <c r="J75">
        <v>7.8000000000000007</v>
      </c>
      <c r="K75">
        <v>0</v>
      </c>
      <c r="L75" t="s">
        <v>1015</v>
      </c>
      <c r="M75" t="s">
        <v>1188</v>
      </c>
      <c r="N75" t="s">
        <v>1189</v>
      </c>
      <c r="O75" t="s">
        <v>1190</v>
      </c>
      <c r="P75">
        <v>1</v>
      </c>
      <c r="Q75">
        <v>0</v>
      </c>
      <c r="R75" t="s">
        <v>1149</v>
      </c>
      <c r="S75" t="s">
        <v>42</v>
      </c>
      <c r="T75" t="s">
        <v>42</v>
      </c>
    </row>
    <row r="76" spans="1:22" x14ac:dyDescent="0.3">
      <c r="A76">
        <v>50074</v>
      </c>
      <c r="B76" t="s">
        <v>1016</v>
      </c>
      <c r="C76" t="s">
        <v>1017</v>
      </c>
      <c r="D76" t="s">
        <v>1201</v>
      </c>
      <c r="E76" t="s">
        <v>1202</v>
      </c>
      <c r="F76">
        <v>4</v>
      </c>
      <c r="G76">
        <v>3</v>
      </c>
      <c r="H76" t="s">
        <v>792</v>
      </c>
      <c r="I76">
        <v>8.8000000000000007</v>
      </c>
      <c r="J76">
        <v>7.8000000000000007</v>
      </c>
      <c r="K76">
        <v>0</v>
      </c>
      <c r="L76" t="s">
        <v>1018</v>
      </c>
      <c r="M76" t="s">
        <v>1195</v>
      </c>
      <c r="N76" t="s">
        <v>1148</v>
      </c>
      <c r="O76" t="s">
        <v>1196</v>
      </c>
      <c r="P76">
        <v>1</v>
      </c>
      <c r="Q76">
        <v>0</v>
      </c>
      <c r="R76" t="s">
        <v>1149</v>
      </c>
      <c r="S76" t="s">
        <v>42</v>
      </c>
      <c r="T76" t="s">
        <v>42</v>
      </c>
      <c r="U76" t="s">
        <v>1150</v>
      </c>
      <c r="V76" t="s">
        <v>1151</v>
      </c>
    </row>
    <row r="77" spans="1:22" x14ac:dyDescent="0.3">
      <c r="A77">
        <v>50075</v>
      </c>
      <c r="B77" t="s">
        <v>1019</v>
      </c>
      <c r="C77" t="s">
        <v>1020</v>
      </c>
      <c r="D77" t="s">
        <v>1203</v>
      </c>
      <c r="E77" t="s">
        <v>1204</v>
      </c>
      <c r="F77">
        <v>4</v>
      </c>
      <c r="G77">
        <v>3</v>
      </c>
      <c r="H77" t="s">
        <v>792</v>
      </c>
      <c r="I77">
        <v>8.8000000000000007</v>
      </c>
      <c r="J77">
        <v>7.8000000000000007</v>
      </c>
      <c r="K77">
        <v>0</v>
      </c>
      <c r="L77" t="s">
        <v>1021</v>
      </c>
      <c r="M77" t="s">
        <v>1195</v>
      </c>
      <c r="N77" t="s">
        <v>1148</v>
      </c>
      <c r="O77" t="s">
        <v>1196</v>
      </c>
      <c r="P77">
        <v>1</v>
      </c>
      <c r="Q77">
        <v>0</v>
      </c>
      <c r="R77" t="s">
        <v>1149</v>
      </c>
      <c r="S77" t="s">
        <v>42</v>
      </c>
      <c r="T77" t="s">
        <v>42</v>
      </c>
      <c r="U77" t="s">
        <v>1150</v>
      </c>
      <c r="V77" t="s">
        <v>1151</v>
      </c>
    </row>
    <row r="78" spans="1:22" x14ac:dyDescent="0.3">
      <c r="A78">
        <v>50076</v>
      </c>
      <c r="B78" t="s">
        <v>1022</v>
      </c>
      <c r="C78" t="s">
        <v>1023</v>
      </c>
      <c r="D78" t="s">
        <v>1205</v>
      </c>
      <c r="E78" t="s">
        <v>1206</v>
      </c>
      <c r="F78">
        <v>4</v>
      </c>
      <c r="G78">
        <v>3</v>
      </c>
      <c r="H78" t="s">
        <v>725</v>
      </c>
      <c r="I78">
        <v>8.8000000000000007</v>
      </c>
      <c r="J78">
        <v>7.8000000000000007</v>
      </c>
      <c r="K78">
        <v>0</v>
      </c>
      <c r="L78" t="s">
        <v>1024</v>
      </c>
      <c r="M78" t="s">
        <v>1207</v>
      </c>
      <c r="N78" t="s">
        <v>1208</v>
      </c>
      <c r="O78" t="s">
        <v>1209</v>
      </c>
      <c r="P78">
        <v>1</v>
      </c>
      <c r="Q78">
        <v>0</v>
      </c>
      <c r="R78" t="s">
        <v>1149</v>
      </c>
      <c r="S78" t="s">
        <v>42</v>
      </c>
      <c r="T78" t="s">
        <v>42</v>
      </c>
      <c r="U78" t="s">
        <v>1150</v>
      </c>
      <c r="V78" t="s">
        <v>1151</v>
      </c>
    </row>
    <row r="79" spans="1:22" x14ac:dyDescent="0.3">
      <c r="A79">
        <v>50077</v>
      </c>
      <c r="B79" t="s">
        <v>1025</v>
      </c>
      <c r="C79" t="s">
        <v>1026</v>
      </c>
      <c r="D79" t="s">
        <v>1210</v>
      </c>
      <c r="E79" t="s">
        <v>1211</v>
      </c>
      <c r="F79">
        <v>4</v>
      </c>
      <c r="G79">
        <v>3</v>
      </c>
      <c r="H79" t="s">
        <v>792</v>
      </c>
      <c r="I79">
        <v>8.8000000000000007</v>
      </c>
      <c r="J79">
        <v>7.8000000000000007</v>
      </c>
      <c r="K79">
        <v>0</v>
      </c>
      <c r="L79" t="s">
        <v>1027</v>
      </c>
      <c r="M79" t="s">
        <v>1207</v>
      </c>
      <c r="N79" t="s">
        <v>1148</v>
      </c>
      <c r="O79" t="s">
        <v>1209</v>
      </c>
      <c r="P79">
        <v>1</v>
      </c>
      <c r="Q79">
        <v>0</v>
      </c>
      <c r="R79" t="s">
        <v>1149</v>
      </c>
      <c r="S79" t="s">
        <v>42</v>
      </c>
      <c r="T79" t="s">
        <v>42</v>
      </c>
      <c r="U79" t="s">
        <v>1150</v>
      </c>
      <c r="V79" t="s">
        <v>1151</v>
      </c>
    </row>
    <row r="80" spans="1:22" x14ac:dyDescent="0.3">
      <c r="A80">
        <v>50078</v>
      </c>
      <c r="B80" t="s">
        <v>1212</v>
      </c>
      <c r="C80" t="s">
        <v>1028</v>
      </c>
      <c r="D80" t="s">
        <v>1213</v>
      </c>
      <c r="E80" t="s">
        <v>1214</v>
      </c>
      <c r="F80">
        <v>4</v>
      </c>
      <c r="G80">
        <v>3</v>
      </c>
      <c r="H80" t="s">
        <v>792</v>
      </c>
      <c r="I80">
        <v>8.8000000000000007</v>
      </c>
      <c r="J80">
        <v>7.8000000000000007</v>
      </c>
      <c r="K80">
        <v>0</v>
      </c>
      <c r="L80" t="s">
        <v>1029</v>
      </c>
      <c r="M80" t="s">
        <v>1215</v>
      </c>
      <c r="N80" t="s">
        <v>1148</v>
      </c>
      <c r="O80" t="s">
        <v>1216</v>
      </c>
      <c r="P80">
        <v>1</v>
      </c>
      <c r="Q80">
        <v>0</v>
      </c>
      <c r="R80" t="s">
        <v>1149</v>
      </c>
      <c r="S80" t="s">
        <v>42</v>
      </c>
      <c r="T80" t="s">
        <v>42</v>
      </c>
      <c r="U80" t="s">
        <v>1150</v>
      </c>
      <c r="V80" t="s">
        <v>1151</v>
      </c>
    </row>
    <row r="81" spans="1:20" x14ac:dyDescent="0.3">
      <c r="A81">
        <v>50079</v>
      </c>
      <c r="B81" t="s">
        <v>1217</v>
      </c>
      <c r="C81" t="s">
        <v>1030</v>
      </c>
      <c r="D81" t="s">
        <v>1218</v>
      </c>
      <c r="E81" t="s">
        <v>1219</v>
      </c>
      <c r="F81">
        <v>4</v>
      </c>
      <c r="G81">
        <v>3</v>
      </c>
      <c r="H81" t="s">
        <v>715</v>
      </c>
      <c r="I81">
        <v>8.8000000000000007</v>
      </c>
      <c r="J81">
        <v>7.8000000000000007</v>
      </c>
      <c r="K81">
        <v>0</v>
      </c>
      <c r="L81" t="s">
        <v>1031</v>
      </c>
      <c r="M81" t="s">
        <v>1215</v>
      </c>
      <c r="N81" t="s">
        <v>1189</v>
      </c>
      <c r="O81" t="s">
        <v>1216</v>
      </c>
      <c r="P81">
        <v>1</v>
      </c>
      <c r="Q81">
        <v>0</v>
      </c>
      <c r="R81" t="s">
        <v>1149</v>
      </c>
      <c r="S81" t="s">
        <v>1220</v>
      </c>
      <c r="T81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맵 밸런스</vt:lpstr>
      <vt:lpstr>표준캐릭터설정</vt:lpstr>
      <vt:lpstr>설정</vt:lpstr>
      <vt:lpstr>Table_Data_Character</vt:lpstr>
      <vt:lpstr>Table_Data_Item</vt:lpstr>
      <vt:lpstr>Table_Data_Map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DongEon</dc:creator>
  <cp:lastModifiedBy>DongEon</cp:lastModifiedBy>
  <dcterms:created xsi:type="dcterms:W3CDTF">2016-10-11T11:09:28Z</dcterms:created>
  <dcterms:modified xsi:type="dcterms:W3CDTF">2016-11-25T11:14:10Z</dcterms:modified>
</cp:coreProperties>
</file>