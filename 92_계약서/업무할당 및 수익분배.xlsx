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05" windowWidth="14805" windowHeight="8010" activeTab="5"/>
  </bookViews>
  <sheets>
    <sheet name="History" sheetId="2" r:id="rId1"/>
    <sheet name="계약서" sheetId="3" r:id="rId2"/>
    <sheet name="업무할당" sheetId="1" r:id="rId3"/>
    <sheet name="Sheet3" sheetId="4" r:id="rId4"/>
    <sheet name="비용정산" sheetId="5" r:id="rId5"/>
    <sheet name="수익정산" sheetId="6" r:id="rId6"/>
  </sheets>
  <calcPr calcId="145621"/>
</workbook>
</file>

<file path=xl/calcChain.xml><?xml version="1.0" encoding="utf-8"?>
<calcChain xmlns="http://schemas.openxmlformats.org/spreadsheetml/2006/main">
  <c r="H2" i="6" l="1"/>
  <c r="I2" i="6" s="1"/>
  <c r="L2" i="6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" i="5"/>
  <c r="J2" i="6" l="1"/>
  <c r="K2" i="6"/>
  <c r="B2" i="4"/>
  <c r="C2" i="4"/>
  <c r="B3" i="4"/>
  <c r="C3" i="4"/>
  <c r="A4" i="4"/>
  <c r="B4" i="4"/>
  <c r="C4" i="4"/>
  <c r="B5" i="4"/>
  <c r="C5" i="4"/>
  <c r="B6" i="4"/>
  <c r="C6" i="4"/>
  <c r="B7" i="4"/>
  <c r="C7" i="4"/>
  <c r="A8" i="4"/>
  <c r="B8" i="4"/>
  <c r="C8" i="4"/>
  <c r="A9" i="4"/>
  <c r="B9" i="4"/>
  <c r="C9" i="4"/>
  <c r="A10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A29" i="4"/>
  <c r="B29" i="4"/>
  <c r="C29" i="4"/>
  <c r="A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A57" i="4"/>
  <c r="B57" i="4"/>
  <c r="C57" i="4"/>
  <c r="B58" i="4"/>
  <c r="C58" i="4"/>
  <c r="B59" i="4"/>
  <c r="C59" i="4"/>
  <c r="A60" i="4"/>
  <c r="B60" i="4"/>
  <c r="C60" i="4"/>
  <c r="B61" i="4"/>
  <c r="C61" i="4"/>
  <c r="B62" i="4"/>
  <c r="C62" i="4"/>
  <c r="B63" i="4"/>
  <c r="C63" i="4"/>
  <c r="A64" i="4"/>
  <c r="B64" i="4"/>
  <c r="B65" i="4"/>
  <c r="C65" i="4"/>
  <c r="A66" i="4"/>
  <c r="B66" i="4"/>
  <c r="A67" i="4"/>
  <c r="B67" i="4"/>
  <c r="C67" i="4"/>
  <c r="B68" i="4"/>
  <c r="C68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A153" i="4"/>
  <c r="B153" i="4"/>
  <c r="C153" i="4"/>
  <c r="A154" i="4"/>
  <c r="B154" i="4"/>
  <c r="C154" i="4"/>
  <c r="A155" i="4"/>
  <c r="B155" i="4"/>
  <c r="C155" i="4"/>
  <c r="A156" i="4"/>
  <c r="B156" i="4"/>
  <c r="C156" i="4"/>
  <c r="A157" i="4"/>
  <c r="B157" i="4"/>
  <c r="C157" i="4"/>
  <c r="A158" i="4"/>
  <c r="B158" i="4"/>
  <c r="C158" i="4"/>
  <c r="A159" i="4"/>
  <c r="B159" i="4"/>
  <c r="C159" i="4"/>
  <c r="A160" i="4"/>
  <c r="B160" i="4"/>
  <c r="C160" i="4"/>
  <c r="A161" i="4"/>
  <c r="B161" i="4"/>
  <c r="C161" i="4"/>
  <c r="A162" i="4"/>
  <c r="B162" i="4"/>
  <c r="C162" i="4"/>
  <c r="A163" i="4"/>
  <c r="B163" i="4"/>
  <c r="C163" i="4"/>
  <c r="A164" i="4"/>
  <c r="B164" i="4"/>
  <c r="C164" i="4"/>
  <c r="A165" i="4"/>
  <c r="B165" i="4"/>
  <c r="C165" i="4"/>
  <c r="A166" i="4"/>
  <c r="B166" i="4"/>
  <c r="C166" i="4"/>
  <c r="A167" i="4"/>
  <c r="B167" i="4"/>
  <c r="C167" i="4"/>
  <c r="A168" i="4"/>
  <c r="B168" i="4"/>
  <c r="C168" i="4"/>
  <c r="A169" i="4"/>
  <c r="B169" i="4"/>
  <c r="C169" i="4"/>
  <c r="A170" i="4"/>
  <c r="B170" i="4"/>
  <c r="C170" i="4"/>
  <c r="A171" i="4"/>
  <c r="B171" i="4"/>
  <c r="C171" i="4"/>
  <c r="A172" i="4"/>
  <c r="B172" i="4"/>
  <c r="C172" i="4"/>
  <c r="A173" i="4"/>
  <c r="B173" i="4"/>
  <c r="C173" i="4"/>
  <c r="A174" i="4"/>
  <c r="B174" i="4"/>
  <c r="C174" i="4"/>
  <c r="A175" i="4"/>
  <c r="B175" i="4"/>
  <c r="C175" i="4"/>
  <c r="A176" i="4"/>
  <c r="B176" i="4"/>
  <c r="C176" i="4"/>
  <c r="A177" i="4"/>
  <c r="B177" i="4"/>
  <c r="C177" i="4"/>
  <c r="A178" i="4"/>
  <c r="B178" i="4"/>
  <c r="C178" i="4"/>
  <c r="A179" i="4"/>
  <c r="B179" i="4"/>
  <c r="C179" i="4"/>
  <c r="A180" i="4"/>
  <c r="B180" i="4"/>
  <c r="C180" i="4"/>
  <c r="A181" i="4"/>
  <c r="B181" i="4"/>
  <c r="C181" i="4"/>
  <c r="A182" i="4"/>
  <c r="B182" i="4"/>
  <c r="C182" i="4"/>
  <c r="A183" i="4"/>
  <c r="B183" i="4"/>
  <c r="C183" i="4"/>
  <c r="A184" i="4"/>
  <c r="B184" i="4"/>
  <c r="C184" i="4"/>
  <c r="A185" i="4"/>
  <c r="B185" i="4"/>
  <c r="C185" i="4"/>
  <c r="A186" i="4"/>
  <c r="B186" i="4"/>
  <c r="C186" i="4"/>
  <c r="A187" i="4"/>
  <c r="B187" i="4"/>
  <c r="C187" i="4"/>
  <c r="A188" i="4"/>
  <c r="B188" i="4"/>
  <c r="C188" i="4"/>
  <c r="A189" i="4"/>
  <c r="B189" i="4"/>
  <c r="C189" i="4"/>
  <c r="A190" i="4"/>
  <c r="B190" i="4"/>
  <c r="C190" i="4"/>
  <c r="A191" i="4"/>
  <c r="B191" i="4"/>
  <c r="C191" i="4"/>
  <c r="A192" i="4"/>
  <c r="B192" i="4"/>
  <c r="C192" i="4"/>
  <c r="A193" i="4"/>
  <c r="B193" i="4"/>
  <c r="C193" i="4"/>
  <c r="A194" i="4"/>
  <c r="B194" i="4"/>
  <c r="C194" i="4"/>
  <c r="A195" i="4"/>
  <c r="B195" i="4"/>
  <c r="C195" i="4"/>
  <c r="A196" i="4"/>
  <c r="B196" i="4"/>
  <c r="C196" i="4"/>
  <c r="A197" i="4"/>
  <c r="B197" i="4"/>
  <c r="C197" i="4"/>
  <c r="A198" i="4"/>
  <c r="B198" i="4"/>
  <c r="C198" i="4"/>
  <c r="A199" i="4"/>
  <c r="B199" i="4"/>
  <c r="C199" i="4"/>
  <c r="A200" i="4"/>
  <c r="B200" i="4"/>
  <c r="C200" i="4"/>
  <c r="A201" i="4"/>
  <c r="B201" i="4"/>
  <c r="C201" i="4"/>
  <c r="A202" i="4"/>
  <c r="B202" i="4"/>
  <c r="C202" i="4"/>
  <c r="A203" i="4"/>
  <c r="B203" i="4"/>
  <c r="C203" i="4"/>
  <c r="A204" i="4"/>
  <c r="B204" i="4"/>
  <c r="C204" i="4"/>
  <c r="A205" i="4"/>
  <c r="B205" i="4"/>
  <c r="C205" i="4"/>
  <c r="C1" i="4"/>
  <c r="H60" i="1" l="1"/>
  <c r="A59" i="4" s="1"/>
  <c r="H59" i="1"/>
  <c r="A58" i="4" s="1"/>
  <c r="H53" i="1"/>
  <c r="A52" i="4" s="1"/>
  <c r="H54" i="1"/>
  <c r="A53" i="4" s="1"/>
  <c r="H55" i="1"/>
  <c r="A54" i="4" s="1"/>
  <c r="H56" i="1"/>
  <c r="A55" i="4" s="1"/>
  <c r="H57" i="1"/>
  <c r="A56" i="4" s="1"/>
  <c r="H52" i="1"/>
  <c r="A51" i="4" s="1"/>
  <c r="H58" i="1" l="1"/>
  <c r="H51" i="1"/>
  <c r="H13" i="3"/>
  <c r="I13" i="3"/>
  <c r="J13" i="3"/>
  <c r="K13" i="3"/>
  <c r="L13" i="3"/>
  <c r="M13" i="3"/>
  <c r="G2" i="1"/>
  <c r="G5" i="1"/>
  <c r="H8" i="1" l="1"/>
  <c r="A7" i="4" s="1"/>
  <c r="H9" i="1"/>
  <c r="H10" i="1"/>
  <c r="H6" i="1"/>
  <c r="H7" i="1"/>
  <c r="A6" i="4" s="1"/>
  <c r="H4" i="1"/>
  <c r="A3" i="4" s="1"/>
  <c r="H3" i="1"/>
  <c r="D13" i="3"/>
  <c r="E13" i="3"/>
  <c r="F13" i="3"/>
  <c r="G13" i="3"/>
  <c r="C13" i="3"/>
  <c r="A1" i="4"/>
  <c r="B1" i="4"/>
  <c r="G61" i="1"/>
  <c r="G58" i="1"/>
  <c r="G51" i="1"/>
  <c r="A5" i="4" l="1"/>
  <c r="H5" i="1"/>
  <c r="A2" i="4"/>
  <c r="H2" i="1"/>
  <c r="H68" i="1"/>
  <c r="H66" i="1"/>
  <c r="A65" i="4" s="1"/>
  <c r="H67" i="1"/>
  <c r="C66" i="4" s="1"/>
  <c r="H63" i="1"/>
  <c r="A62" i="4" s="1"/>
  <c r="H71" i="1"/>
  <c r="H65" i="1"/>
  <c r="C64" i="4" s="1"/>
  <c r="H64" i="1"/>
  <c r="A63" i="4" s="1"/>
  <c r="H62" i="1"/>
  <c r="A61" i="4" s="1"/>
  <c r="H69" i="1"/>
  <c r="A68" i="4" s="1"/>
  <c r="H70" i="1"/>
  <c r="A69" i="4" s="1"/>
  <c r="G11" i="1"/>
  <c r="E14" i="3" l="1"/>
  <c r="H61" i="1"/>
  <c r="H32" i="1"/>
  <c r="A31" i="4" s="1"/>
  <c r="H36" i="1"/>
  <c r="A35" i="4" s="1"/>
  <c r="H40" i="1"/>
  <c r="A39" i="4" s="1"/>
  <c r="H44" i="1"/>
  <c r="A43" i="4" s="1"/>
  <c r="H48" i="1"/>
  <c r="H46" i="1"/>
  <c r="A45" i="4" s="1"/>
  <c r="H47" i="1"/>
  <c r="H33" i="1"/>
  <c r="A32" i="4" s="1"/>
  <c r="H37" i="1"/>
  <c r="A36" i="4" s="1"/>
  <c r="H41" i="1"/>
  <c r="A40" i="4" s="1"/>
  <c r="H45" i="1"/>
  <c r="A44" i="4" s="1"/>
  <c r="H49" i="1"/>
  <c r="H50" i="1"/>
  <c r="H43" i="1"/>
  <c r="A42" i="4" s="1"/>
  <c r="H34" i="1"/>
  <c r="A33" i="4" s="1"/>
  <c r="H38" i="1"/>
  <c r="A37" i="4" s="1"/>
  <c r="H42" i="1"/>
  <c r="A41" i="4" s="1"/>
  <c r="H31" i="1"/>
  <c r="B30" i="4" s="1"/>
  <c r="H35" i="1"/>
  <c r="A34" i="4" s="1"/>
  <c r="H39" i="1"/>
  <c r="A38" i="4" s="1"/>
  <c r="H12" i="1"/>
  <c r="A11" i="4" s="1"/>
  <c r="H13" i="1"/>
  <c r="A12" i="4" s="1"/>
  <c r="H17" i="1"/>
  <c r="A16" i="4" s="1"/>
  <c r="H21" i="1"/>
  <c r="A20" i="4" s="1"/>
  <c r="H25" i="1"/>
  <c r="A24" i="4" s="1"/>
  <c r="H29" i="1"/>
  <c r="A28" i="4" s="1"/>
  <c r="H14" i="1"/>
  <c r="A13" i="4" s="1"/>
  <c r="H18" i="1"/>
  <c r="A17" i="4" s="1"/>
  <c r="H22" i="1"/>
  <c r="A21" i="4" s="1"/>
  <c r="H26" i="1"/>
  <c r="A25" i="4" s="1"/>
  <c r="H15" i="1"/>
  <c r="A14" i="4" s="1"/>
  <c r="H19" i="1"/>
  <c r="A18" i="4" s="1"/>
  <c r="H23" i="1"/>
  <c r="A22" i="4" s="1"/>
  <c r="H27" i="1"/>
  <c r="A26" i="4" s="1"/>
  <c r="H30" i="1"/>
  <c r="H16" i="1"/>
  <c r="A15" i="4" s="1"/>
  <c r="H20" i="1"/>
  <c r="A19" i="4" s="1"/>
  <c r="H24" i="1"/>
  <c r="A23" i="4" s="1"/>
  <c r="H28" i="1"/>
  <c r="A27" i="4" s="1"/>
  <c r="C14" i="3" l="1"/>
  <c r="H11" i="1"/>
  <c r="D14" i="3" l="1"/>
  <c r="N14" i="3" s="1"/>
</calcChain>
</file>

<file path=xl/sharedStrings.xml><?xml version="1.0" encoding="utf-8"?>
<sst xmlns="http://schemas.openxmlformats.org/spreadsheetml/2006/main" count="194" uniqueCount="126">
  <si>
    <t>분류</t>
  </si>
  <si>
    <t>업무</t>
  </si>
  <si>
    <t>할당</t>
  </si>
  <si>
    <t>적용비율</t>
  </si>
  <si>
    <t>담당자</t>
  </si>
  <si>
    <t>관리</t>
  </si>
  <si>
    <t>프로그램</t>
  </si>
  <si>
    <t>게임 구현</t>
  </si>
  <si>
    <t>변동언</t>
  </si>
  <si>
    <t>기획</t>
  </si>
  <si>
    <t>시스템</t>
  </si>
  <si>
    <t>타이틀 시스템</t>
  </si>
  <si>
    <t>메뉴 시스템</t>
  </si>
  <si>
    <t>세이브 시스템</t>
  </si>
  <si>
    <t>생성 시스템</t>
  </si>
  <si>
    <t>지역 시스템</t>
  </si>
  <si>
    <t>세력 시스팀</t>
  </si>
  <si>
    <t>멤버 시스템</t>
  </si>
  <si>
    <t>명령 시스템</t>
  </si>
  <si>
    <t>AI 시스템</t>
  </si>
  <si>
    <t>게임 시스템</t>
  </si>
  <si>
    <t>엔딩 크레딧 시스템</t>
  </si>
  <si>
    <t>사운드 시스템</t>
  </si>
  <si>
    <t>게임 설정 시스템</t>
  </si>
  <si>
    <t>옵션 시스템</t>
  </si>
  <si>
    <t>스폰 시스템</t>
  </si>
  <si>
    <t>컨텐츠</t>
  </si>
  <si>
    <t>타이틀 씬 설정</t>
  </si>
  <si>
    <t>메뉴 씬 설정</t>
  </si>
  <si>
    <t>생성 씬 설정</t>
  </si>
  <si>
    <t>로딩 씬 설정</t>
  </si>
  <si>
    <t>게임 씬 설정</t>
  </si>
  <si>
    <t>엔딩 씬 설정</t>
  </si>
  <si>
    <t>크레딧 씬 설정</t>
  </si>
  <si>
    <t>지역 설정 및 데이터 작업</t>
  </si>
  <si>
    <t>세력 설정 및 데이터 작업</t>
  </si>
  <si>
    <t>멤버 설정 및 데이터 작업</t>
  </si>
  <si>
    <t>옵션 설정 및 데이터 작업</t>
  </si>
  <si>
    <t>사운드 설정 및 데이터 작업</t>
  </si>
  <si>
    <t>명령 설정 및 데이터 작업</t>
  </si>
  <si>
    <t>AI 설정 및 데이터 작업</t>
  </si>
  <si>
    <t>맵 구성 및 배치</t>
  </si>
  <si>
    <t>아트</t>
  </si>
  <si>
    <t>유저 인터페이스</t>
  </si>
  <si>
    <t>아이콘</t>
  </si>
  <si>
    <t>맵 리소스</t>
  </si>
  <si>
    <t>사운드</t>
  </si>
  <si>
    <t>배경음</t>
  </si>
  <si>
    <t>효과음</t>
  </si>
  <si>
    <t>퍼블리싱</t>
  </si>
  <si>
    <t>광고</t>
  </si>
  <si>
    <t>안드로이드</t>
  </si>
  <si>
    <t>아이폰</t>
  </si>
  <si>
    <t xml:space="preserve"> </t>
  </si>
  <si>
    <t>전체</t>
    <phoneticPr fontId="1" type="noConversion"/>
  </si>
  <si>
    <t>전체</t>
    <phoneticPr fontId="1" type="noConversion"/>
  </si>
  <si>
    <t>세력 아이콘 150개</t>
    <phoneticPr fontId="1" type="noConversion"/>
  </si>
  <si>
    <t>기타 아이콘</t>
    <phoneticPr fontId="1" type="noConversion"/>
  </si>
  <si>
    <t>변동언</t>
    <phoneticPr fontId="1" type="noConversion"/>
  </si>
  <si>
    <t>지역 이미지</t>
    <phoneticPr fontId="1" type="noConversion"/>
  </si>
  <si>
    <t>번역</t>
    <phoneticPr fontId="1" type="noConversion"/>
  </si>
  <si>
    <t>영어</t>
    <phoneticPr fontId="1" type="noConversion"/>
  </si>
  <si>
    <t>일본어</t>
    <phoneticPr fontId="1" type="noConversion"/>
  </si>
  <si>
    <t>작업자</t>
    <phoneticPr fontId="1" type="noConversion"/>
  </si>
  <si>
    <t>지분비율</t>
    <phoneticPr fontId="1" type="noConversion"/>
  </si>
  <si>
    <t>동의</t>
    <phoneticPr fontId="1" type="noConversion"/>
  </si>
  <si>
    <t>▶ 수익 분배 비율</t>
    <phoneticPr fontId="1" type="noConversion"/>
  </si>
  <si>
    <t>제반비용이란 마켓 수수료, 외주비용, 기타 게임 개발에 사용된 비용을 말합니다.</t>
    <phoneticPr fontId="1" type="noConversion"/>
  </si>
  <si>
    <t>수익이란 제반비용을 제외한 순수익을 말합니다.</t>
    <phoneticPr fontId="1" type="noConversion"/>
  </si>
  <si>
    <t>본 계약은 각 작업자가 회신하며, 동의란에 본인의 성명을 기재하여 SVN에 업데이트 하는 것으로 서명,날인을 대신합니다.</t>
    <phoneticPr fontId="1" type="noConversion"/>
  </si>
  <si>
    <t>광고 전략 설정</t>
    <phoneticPr fontId="1" type="noConversion"/>
  </si>
  <si>
    <t>디렉팅</t>
    <phoneticPr fontId="1" type="noConversion"/>
  </si>
  <si>
    <t>프로젝트 관리</t>
    <phoneticPr fontId="1" type="noConversion"/>
  </si>
  <si>
    <t>No</t>
    <phoneticPr fontId="5" type="noConversion"/>
  </si>
  <si>
    <t>날짜</t>
    <phoneticPr fontId="5" type="noConversion"/>
  </si>
  <si>
    <t>작업자</t>
    <phoneticPr fontId="5" type="noConversion"/>
  </si>
  <si>
    <t>문서 변경 내용</t>
    <phoneticPr fontId="5" type="noConversion"/>
  </si>
  <si>
    <t>변동언</t>
    <phoneticPr fontId="5" type="noConversion"/>
  </si>
  <si>
    <t>[file] 최초 작성</t>
    <phoneticPr fontId="5" type="noConversion"/>
  </si>
  <si>
    <t>세력 아이콘 168개</t>
    <phoneticPr fontId="1" type="noConversion"/>
  </si>
  <si>
    <t>세력 아이콘 로우 이미지</t>
    <phoneticPr fontId="1" type="noConversion"/>
  </si>
  <si>
    <t>작업물에 대한 모든 권리는 각 작업자가 가집니다. 본 게임 이외에서 작업물을 사용하기 위해서는 권리자에게 사용 허락을 얻어야 합니다.</t>
    <phoneticPr fontId="1" type="noConversion"/>
  </si>
  <si>
    <t>수익 분배 계약서</t>
    <phoneticPr fontId="1" type="noConversion"/>
  </si>
  <si>
    <t>각 작업자는 스마트폰 게임 짱 : 서울일통(가칭, 이하 게임)의 수익에 대해 위 수익 분배 비율에 따라 수익을 나눔에 동의합니다.</t>
    <phoneticPr fontId="1" type="noConversion"/>
  </si>
  <si>
    <t>데이터 파싱 툴</t>
    <phoneticPr fontId="1" type="noConversion"/>
  </si>
  <si>
    <t>세력 설정 툴</t>
    <phoneticPr fontId="1" type="noConversion"/>
  </si>
  <si>
    <t>멤버 설정 툴</t>
    <phoneticPr fontId="1" type="noConversion"/>
  </si>
  <si>
    <t>게임 클라이언트 코드 구현</t>
    <phoneticPr fontId="1" type="noConversion"/>
  </si>
  <si>
    <t>맵 배치 툴 제작</t>
    <phoneticPr fontId="1" type="noConversion"/>
  </si>
  <si>
    <t>소셜 기능 구현</t>
    <phoneticPr fontId="1" type="noConversion"/>
  </si>
  <si>
    <t>변동언</t>
    <phoneticPr fontId="1" type="noConversion"/>
  </si>
  <si>
    <t>원화 및 UI 리소스</t>
    <phoneticPr fontId="1" type="noConversion"/>
  </si>
  <si>
    <t>앱 등록 ,버전 관리 및 유저대응</t>
    <phoneticPr fontId="1" type="noConversion"/>
  </si>
  <si>
    <t>커뮤니티 관리</t>
    <phoneticPr fontId="1" type="noConversion"/>
  </si>
  <si>
    <t>페이스 북</t>
    <phoneticPr fontId="1" type="noConversion"/>
  </si>
  <si>
    <t>변동언</t>
    <phoneticPr fontId="1" type="noConversion"/>
  </si>
  <si>
    <t>변동언</t>
    <phoneticPr fontId="1" type="noConversion"/>
  </si>
  <si>
    <t>김경훈</t>
    <phoneticPr fontId="1" type="noConversion"/>
  </si>
  <si>
    <t>박종혁</t>
    <phoneticPr fontId="1" type="noConversion"/>
  </si>
  <si>
    <t>네이버 까페</t>
    <phoneticPr fontId="1" type="noConversion"/>
  </si>
  <si>
    <t>기타</t>
    <phoneticPr fontId="1" type="noConversion"/>
  </si>
  <si>
    <t>김경훈</t>
    <phoneticPr fontId="1" type="noConversion"/>
  </si>
  <si>
    <t>합계</t>
    <phoneticPr fontId="1" type="noConversion"/>
  </si>
  <si>
    <t>시나리오, 게임 컨셉</t>
    <phoneticPr fontId="1" type="noConversion"/>
  </si>
  <si>
    <t>항목</t>
  </si>
  <si>
    <t>내용</t>
  </si>
  <si>
    <t>비용</t>
  </si>
  <si>
    <t>부담자</t>
  </si>
  <si>
    <t>정산일</t>
  </si>
  <si>
    <t>비고</t>
  </si>
  <si>
    <t>페이스북 광고</t>
  </si>
  <si>
    <t>광고</t>
    <phoneticPr fontId="1" type="noConversion"/>
  </si>
  <si>
    <t>페이스북 광고</t>
    <phoneticPr fontId="1" type="noConversion"/>
  </si>
  <si>
    <t>구글 광고</t>
    <phoneticPr fontId="1" type="noConversion"/>
  </si>
  <si>
    <t>정산일</t>
    <phoneticPr fontId="1" type="noConversion"/>
  </si>
  <si>
    <t>지급일</t>
    <phoneticPr fontId="1" type="noConversion"/>
  </si>
  <si>
    <t>판매기간</t>
    <phoneticPr fontId="1" type="noConversion"/>
  </si>
  <si>
    <t>수익</t>
    <phoneticPr fontId="1" type="noConversion"/>
  </si>
  <si>
    <t>비용</t>
    <phoneticPr fontId="1" type="noConversion"/>
  </si>
  <si>
    <t>순수익</t>
    <phoneticPr fontId="1" type="noConversion"/>
  </si>
  <si>
    <t>비고</t>
    <phoneticPr fontId="1" type="noConversion"/>
  </si>
  <si>
    <t>구글</t>
  </si>
  <si>
    <t>~</t>
  </si>
  <si>
    <t>구분</t>
    <phoneticPr fontId="1" type="noConversion"/>
  </si>
  <si>
    <t>2016.05.20</t>
    <phoneticPr fontId="1" type="noConversion"/>
  </si>
  <si>
    <t>2016.05.20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</si>
</sst>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2" borderId="5" xfId="0" applyFill="1" applyBorder="1"/>
    <xf numFmtId="9" fontId="0" fillId="2" borderId="5" xfId="0" applyNumberFormat="1" applyFill="1" applyBorder="1"/>
    <xf numFmtId="0" fontId="0" fillId="2" borderId="11" xfId="0" applyFill="1" applyBorder="1"/>
    <xf numFmtId="9" fontId="0" fillId="2" borderId="11" xfId="0" applyNumberFormat="1" applyFill="1" applyBorder="1"/>
    <xf numFmtId="0" fontId="0" fillId="2" borderId="13" xfId="0" applyFill="1" applyBorder="1"/>
    <xf numFmtId="9" fontId="0" fillId="2" borderId="13" xfId="0" applyNumberFormat="1" applyFill="1" applyBorder="1"/>
    <xf numFmtId="0" fontId="0" fillId="2" borderId="15" xfId="0" applyFill="1" applyBorder="1"/>
    <xf numFmtId="9" fontId="0" fillId="2" borderId="15" xfId="0" applyNumberFormat="1" applyFill="1" applyBorder="1"/>
    <xf numFmtId="0" fontId="0" fillId="2" borderId="18" xfId="0" applyFill="1" applyBorder="1"/>
    <xf numFmtId="9" fontId="0" fillId="2" borderId="18" xfId="0" applyNumberFormat="1" applyFill="1" applyBorder="1"/>
    <xf numFmtId="0" fontId="0" fillId="2" borderId="21" xfId="0" applyFill="1" applyBorder="1"/>
    <xf numFmtId="9" fontId="0" fillId="2" borderId="21" xfId="0" applyNumberFormat="1" applyFill="1" applyBorder="1"/>
    <xf numFmtId="0" fontId="0" fillId="3" borderId="11" xfId="0" applyFill="1" applyBorder="1"/>
    <xf numFmtId="9" fontId="0" fillId="3" borderId="11" xfId="0" applyNumberFormat="1" applyFill="1" applyBorder="1"/>
    <xf numFmtId="0" fontId="0" fillId="4" borderId="2" xfId="0" applyFill="1" applyBorder="1" applyAlignment="1">
      <alignment horizontal="center"/>
    </xf>
    <xf numFmtId="0" fontId="0" fillId="3" borderId="23" xfId="0" applyFill="1" applyBorder="1"/>
    <xf numFmtId="9" fontId="0" fillId="3" borderId="23" xfId="0" applyNumberFormat="1" applyFill="1" applyBorder="1"/>
    <xf numFmtId="0" fontId="0" fillId="5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0" fontId="0" fillId="2" borderId="15" xfId="0" applyNumberFormat="1" applyFill="1" applyBorder="1" applyAlignment="1">
      <alignment horizontal="center"/>
    </xf>
    <xf numFmtId="10" fontId="0" fillId="2" borderId="16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14" fontId="0" fillId="2" borderId="5" xfId="0" applyNumberFormat="1" applyFill="1" applyBorder="1" applyAlignment="1">
      <alignment vertical="center"/>
    </xf>
    <xf numFmtId="14" fontId="0" fillId="2" borderId="30" xfId="0" applyNumberForma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4" fontId="0" fillId="2" borderId="8" xfId="0" applyNumberFormat="1" applyFill="1" applyBorder="1" applyAlignment="1">
      <alignment vertical="center"/>
    </xf>
    <xf numFmtId="14" fontId="0" fillId="2" borderId="31" xfId="0" applyNumberForma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35" xfId="0" applyFill="1" applyBorder="1"/>
    <xf numFmtId="0" fontId="0" fillId="2" borderId="0" xfId="0" applyFill="1" applyBorder="1"/>
    <xf numFmtId="0" fontId="0" fillId="2" borderId="36" xfId="0" applyFill="1" applyBorder="1"/>
    <xf numFmtId="0" fontId="3" fillId="2" borderId="0" xfId="0" applyFont="1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2" fillId="2" borderId="3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76" fontId="0" fillId="2" borderId="15" xfId="0" applyNumberFormat="1" applyFill="1" applyBorder="1"/>
    <xf numFmtId="176" fontId="0" fillId="3" borderId="11" xfId="0" applyNumberFormat="1" applyFill="1" applyBorder="1"/>
    <xf numFmtId="176" fontId="0" fillId="2" borderId="5" xfId="0" applyNumberFormat="1" applyFill="1" applyBorder="1"/>
    <xf numFmtId="176" fontId="0" fillId="2" borderId="21" xfId="0" applyNumberFormat="1" applyFill="1" applyBorder="1"/>
    <xf numFmtId="176" fontId="0" fillId="2" borderId="13" xfId="0" applyNumberFormat="1" applyFill="1" applyBorder="1"/>
    <xf numFmtId="176" fontId="0" fillId="3" borderId="23" xfId="0" applyNumberFormat="1" applyFill="1" applyBorder="1"/>
    <xf numFmtId="176" fontId="0" fillId="2" borderId="11" xfId="0" applyNumberFormat="1" applyFill="1" applyBorder="1"/>
    <xf numFmtId="176" fontId="0" fillId="2" borderId="18" xfId="0" applyNumberFormat="1" applyFill="1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2" borderId="2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workbookViewId="0">
      <selection activeCell="B3" sqref="B3"/>
    </sheetView>
  </sheetViews>
  <sheetFormatPr defaultRowHeight="16.5" x14ac:dyDescent="0.3"/>
  <cols>
    <col min="1" max="1" width="9" style="34"/>
    <col min="2" max="2" width="15.875" style="34" customWidth="1"/>
    <col min="3" max="3" width="10.75" style="34" customWidth="1"/>
    <col min="4" max="4" width="80" style="34" customWidth="1"/>
    <col min="5" max="16384" width="9" style="34"/>
  </cols>
  <sheetData>
    <row r="1" spans="1:20" x14ac:dyDescent="0.3">
      <c r="A1" s="29" t="s">
        <v>73</v>
      </c>
      <c r="B1" s="30" t="s">
        <v>74</v>
      </c>
      <c r="C1" s="31" t="s">
        <v>75</v>
      </c>
      <c r="D1" s="32" t="s">
        <v>76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3">
      <c r="A2" s="35">
        <v>1</v>
      </c>
      <c r="B2" s="36">
        <v>42479</v>
      </c>
      <c r="C2" s="37" t="s">
        <v>77</v>
      </c>
      <c r="D2" s="38" t="s">
        <v>78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3">
      <c r="A3" s="35"/>
      <c r="B3" s="36"/>
      <c r="C3" s="37"/>
      <c r="D3" s="38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3">
      <c r="A4" s="35"/>
      <c r="B4" s="36"/>
      <c r="C4" s="37"/>
      <c r="D4" s="3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x14ac:dyDescent="0.3">
      <c r="A5" s="35"/>
      <c r="B5" s="36"/>
      <c r="C5" s="37"/>
      <c r="D5" s="38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3">
      <c r="A6" s="35"/>
      <c r="B6" s="36"/>
      <c r="C6" s="37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x14ac:dyDescent="0.3">
      <c r="A7" s="35"/>
      <c r="B7" s="36"/>
      <c r="C7" s="37"/>
      <c r="D7" s="3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x14ac:dyDescent="0.3">
      <c r="A8" s="35"/>
      <c r="B8" s="36"/>
      <c r="C8" s="37"/>
      <c r="D8" s="38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x14ac:dyDescent="0.3">
      <c r="A9" s="35"/>
      <c r="B9" s="36"/>
      <c r="C9" s="37"/>
      <c r="D9" s="38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spans="1:20" x14ac:dyDescent="0.3">
      <c r="A10" s="35"/>
      <c r="B10" s="36"/>
      <c r="C10" s="37"/>
      <c r="D10" s="38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x14ac:dyDescent="0.3">
      <c r="A11" s="35"/>
      <c r="B11" s="36"/>
      <c r="C11" s="37"/>
      <c r="D11" s="38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x14ac:dyDescent="0.3">
      <c r="A12" s="35"/>
      <c r="B12" s="36"/>
      <c r="C12" s="37"/>
      <c r="D12" s="38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x14ac:dyDescent="0.3">
      <c r="A13" s="35"/>
      <c r="B13" s="36"/>
      <c r="C13" s="37"/>
      <c r="D13" s="38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x14ac:dyDescent="0.3">
      <c r="A14" s="35"/>
      <c r="B14" s="36"/>
      <c r="C14" s="37"/>
      <c r="D14" s="38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0" x14ac:dyDescent="0.3">
      <c r="A15" s="35"/>
      <c r="B15" s="36"/>
      <c r="C15" s="37"/>
      <c r="D15" s="38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1:20" x14ac:dyDescent="0.3">
      <c r="A16" s="35"/>
      <c r="B16" s="36"/>
      <c r="C16" s="37"/>
      <c r="D16" s="38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</row>
    <row r="17" spans="1:20" x14ac:dyDescent="0.3">
      <c r="A17" s="35"/>
      <c r="B17" s="36"/>
      <c r="C17" s="37"/>
      <c r="D17" s="38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</row>
    <row r="18" spans="1:20" x14ac:dyDescent="0.3">
      <c r="A18" s="35"/>
      <c r="B18" s="36"/>
      <c r="C18" s="37"/>
      <c r="D18" s="38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spans="1:20" x14ac:dyDescent="0.3">
      <c r="A19" s="35"/>
      <c r="B19" s="36"/>
      <c r="C19" s="37"/>
      <c r="D19" s="38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 spans="1:20" x14ac:dyDescent="0.3">
      <c r="A20" s="35"/>
      <c r="B20" s="36"/>
      <c r="C20" s="37"/>
      <c r="D20" s="38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1" spans="1:20" x14ac:dyDescent="0.3">
      <c r="A21" s="35"/>
      <c r="B21" s="36"/>
      <c r="C21" s="37"/>
      <c r="D21" s="38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 x14ac:dyDescent="0.3">
      <c r="A22" s="35"/>
      <c r="B22" s="36"/>
      <c r="C22" s="37"/>
      <c r="D22" s="38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x14ac:dyDescent="0.3">
      <c r="A23" s="35"/>
      <c r="B23" s="36"/>
      <c r="C23" s="37"/>
      <c r="D23" s="38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 spans="1:20" x14ac:dyDescent="0.3">
      <c r="A24" s="35"/>
      <c r="B24" s="36"/>
      <c r="C24" s="37"/>
      <c r="D24" s="38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 spans="1:20" x14ac:dyDescent="0.3">
      <c r="A25" s="35"/>
      <c r="B25" s="36"/>
      <c r="C25" s="37"/>
      <c r="D25" s="38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 spans="1:20" x14ac:dyDescent="0.3">
      <c r="A26" s="35"/>
      <c r="B26" s="36"/>
      <c r="C26" s="37"/>
      <c r="D26" s="38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 spans="1:20" x14ac:dyDescent="0.3">
      <c r="A27" s="35"/>
      <c r="B27" s="36"/>
      <c r="C27" s="37"/>
      <c r="D27" s="38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 spans="1:20" x14ac:dyDescent="0.3">
      <c r="A28" s="35"/>
      <c r="B28" s="36"/>
      <c r="C28" s="37"/>
      <c r="D28" s="38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 spans="1:20" x14ac:dyDescent="0.3">
      <c r="A29" s="35"/>
      <c r="B29" s="36"/>
      <c r="C29" s="37"/>
      <c r="D29" s="38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 spans="1:20" x14ac:dyDescent="0.3">
      <c r="A30" s="35"/>
      <c r="B30" s="36"/>
      <c r="C30" s="37"/>
      <c r="D30" s="38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 spans="1:20" x14ac:dyDescent="0.3">
      <c r="A31" s="35"/>
      <c r="B31" s="36"/>
      <c r="C31" s="37"/>
      <c r="D31" s="38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 spans="1:20" x14ac:dyDescent="0.3">
      <c r="A32" s="35"/>
      <c r="B32" s="36"/>
      <c r="C32" s="37"/>
      <c r="D32" s="38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 x14ac:dyDescent="0.3">
      <c r="A33" s="35"/>
      <c r="B33" s="36"/>
      <c r="C33" s="37"/>
      <c r="D33" s="38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3">
      <c r="A34" s="35"/>
      <c r="B34" s="36"/>
      <c r="C34" s="37"/>
      <c r="D34" s="38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x14ac:dyDescent="0.3">
      <c r="A35" s="35"/>
      <c r="B35" s="36"/>
      <c r="C35" s="37"/>
      <c r="D35" s="38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x14ac:dyDescent="0.3">
      <c r="A36" s="35"/>
      <c r="B36" s="36"/>
      <c r="C36" s="37"/>
      <c r="D36" s="38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 x14ac:dyDescent="0.3">
      <c r="A37" s="35"/>
      <c r="B37" s="36"/>
      <c r="C37" s="37"/>
      <c r="D37" s="38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 x14ac:dyDescent="0.3">
      <c r="A38" s="35"/>
      <c r="B38" s="36"/>
      <c r="C38" s="37"/>
      <c r="D38" s="38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 x14ac:dyDescent="0.3">
      <c r="A39" s="35"/>
      <c r="B39" s="36"/>
      <c r="C39" s="37"/>
      <c r="D39" s="38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 x14ac:dyDescent="0.3">
      <c r="A40" s="35"/>
      <c r="B40" s="36"/>
      <c r="C40" s="37"/>
      <c r="D40" s="38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 x14ac:dyDescent="0.3">
      <c r="A41" s="35"/>
      <c r="B41" s="36"/>
      <c r="C41" s="37"/>
      <c r="D41" s="38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 x14ac:dyDescent="0.3">
      <c r="A42" s="35"/>
      <c r="B42" s="36"/>
      <c r="C42" s="37"/>
      <c r="D42" s="38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x14ac:dyDescent="0.3">
      <c r="A43" s="35"/>
      <c r="B43" s="36"/>
      <c r="C43" s="37"/>
      <c r="D43" s="38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x14ac:dyDescent="0.3">
      <c r="A44" s="35"/>
      <c r="B44" s="36"/>
      <c r="C44" s="37"/>
      <c r="D44" s="38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x14ac:dyDescent="0.3">
      <c r="A45" s="35"/>
      <c r="B45" s="36"/>
      <c r="C45" s="37"/>
      <c r="D45" s="38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x14ac:dyDescent="0.3">
      <c r="A46" s="35"/>
      <c r="B46" s="36"/>
      <c r="C46" s="37"/>
      <c r="D46" s="38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x14ac:dyDescent="0.3">
      <c r="A47" s="35"/>
      <c r="B47" s="36"/>
      <c r="C47" s="37"/>
      <c r="D47" s="38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17.25" thickBot="1" x14ac:dyDescent="0.35">
      <c r="A48" s="39"/>
      <c r="B48" s="40"/>
      <c r="C48" s="41"/>
      <c r="D48" s="4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x14ac:dyDescent="0.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x14ac:dyDescent="0.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 x14ac:dyDescent="0.3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 x14ac:dyDescent="0.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</row>
    <row r="53" spans="1:20" x14ac:dyDescent="0.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x14ac:dyDescent="0.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1:20" x14ac:dyDescent="0.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 spans="1:20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 spans="1:20" x14ac:dyDescent="0.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spans="1:20" x14ac:dyDescent="0.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 spans="1:20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1:20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 spans="1:20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 x14ac:dyDescent="0.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 spans="1:20" x14ac:dyDescent="0.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 spans="1:20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</row>
    <row r="67" spans="1:20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</row>
    <row r="68" spans="1:20" x14ac:dyDescent="0.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</row>
    <row r="69" spans="1:20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 spans="1:20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</row>
    <row r="73" spans="1:20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</row>
    <row r="74" spans="1:20" x14ac:dyDescent="0.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</row>
    <row r="75" spans="1:20" x14ac:dyDescent="0.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 spans="1:20" x14ac:dyDescent="0.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activeCell="N18" sqref="N18"/>
    </sheetView>
  </sheetViews>
  <sheetFormatPr defaultRowHeight="16.5" x14ac:dyDescent="0.3"/>
  <sheetData>
    <row r="1" spans="1:15" ht="17.25" thickBot="1" x14ac:dyDescent="0.35"/>
    <row r="2" spans="1:15" ht="27" thickTop="1" x14ac:dyDescent="0.45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ht="26.25" x14ac:dyDescent="0.45">
      <c r="A3" s="74" t="s">
        <v>82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6"/>
    </row>
    <row r="4" spans="1:15" ht="26.25" x14ac:dyDescent="0.4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1:15" x14ac:dyDescent="0.3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</row>
    <row r="6" spans="1:15" x14ac:dyDescent="0.3">
      <c r="A6" s="43"/>
      <c r="B6" s="44" t="s">
        <v>83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5"/>
    </row>
    <row r="7" spans="1:15" x14ac:dyDescent="0.3">
      <c r="A7" s="43"/>
      <c r="B7" s="44" t="s">
        <v>68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5"/>
    </row>
    <row r="8" spans="1:15" x14ac:dyDescent="0.3">
      <c r="A8" s="43"/>
      <c r="B8" s="44" t="s">
        <v>67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</row>
    <row r="9" spans="1:15" x14ac:dyDescent="0.3">
      <c r="A9" s="43"/>
      <c r="B9" s="44" t="s">
        <v>81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5"/>
    </row>
    <row r="10" spans="1:15" x14ac:dyDescent="0.3">
      <c r="A10" s="43"/>
      <c r="B10" s="44" t="s">
        <v>69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</row>
    <row r="11" spans="1:15" x14ac:dyDescent="0.3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5"/>
    </row>
    <row r="12" spans="1:15" ht="17.25" thickBot="1" x14ac:dyDescent="0.35">
      <c r="A12" s="43"/>
      <c r="B12" s="46" t="s">
        <v>66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</row>
    <row r="13" spans="1:15" x14ac:dyDescent="0.3">
      <c r="A13" s="43"/>
      <c r="B13" s="20" t="s">
        <v>63</v>
      </c>
      <c r="C13" s="21" t="str">
        <f>IF(Sheet3!L$1=0,"",Sheet3!L$1)</f>
        <v>변동언</v>
      </c>
      <c r="D13" s="21" t="str">
        <f>IF(Sheet3!M$1=0,"",Sheet3!M$1)</f>
        <v>김경훈</v>
      </c>
      <c r="E13" s="21" t="str">
        <f>IF(Sheet3!N$1=0,"",Sheet3!N$1)</f>
        <v>박종혁</v>
      </c>
      <c r="F13" s="21" t="str">
        <f>IF(Sheet3!O$1=0,"",Sheet3!O$1)</f>
        <v/>
      </c>
      <c r="G13" s="21" t="str">
        <f>IF(Sheet3!P$1=0,"",Sheet3!P$1)</f>
        <v/>
      </c>
      <c r="H13" s="21" t="str">
        <f>IF(Sheet3!Q$1=0,"",Sheet3!Q$1)</f>
        <v/>
      </c>
      <c r="I13" s="21" t="str">
        <f>IF(Sheet3!R$1=0,"",Sheet3!R$1)</f>
        <v/>
      </c>
      <c r="J13" s="21" t="str">
        <f>IF(Sheet3!S$1=0,"",Sheet3!S$1)</f>
        <v/>
      </c>
      <c r="K13" s="21" t="str">
        <f>IF(Sheet3!T$1=0,"",Sheet3!T$1)</f>
        <v/>
      </c>
      <c r="L13" s="21" t="str">
        <f>IF(Sheet3!U$1=0,"",Sheet3!U$1)</f>
        <v/>
      </c>
      <c r="M13" s="21" t="str">
        <f>IF(Sheet3!V$1=0,"",Sheet3!V$1)</f>
        <v/>
      </c>
      <c r="N13" s="22" t="s">
        <v>102</v>
      </c>
      <c r="O13" s="45"/>
    </row>
    <row r="14" spans="1:15" x14ac:dyDescent="0.3">
      <c r="A14" s="43"/>
      <c r="B14" s="23" t="s">
        <v>64</v>
      </c>
      <c r="C14" s="24">
        <f>SUM(Sheet3!A:A)</f>
        <v>0.85135661936691132</v>
      </c>
      <c r="D14" s="24">
        <f>SUM(Sheet3!B:B)</f>
        <v>4.9586776859504113E-2</v>
      </c>
      <c r="E14" s="24">
        <f>SUM(Sheet3!C:C)</f>
        <v>9.9056603773584898E-2</v>
      </c>
      <c r="F14" s="24"/>
      <c r="G14" s="24"/>
      <c r="H14" s="24"/>
      <c r="I14" s="24"/>
      <c r="J14" s="24"/>
      <c r="K14" s="24"/>
      <c r="L14" s="24"/>
      <c r="M14" s="24"/>
      <c r="N14" s="25">
        <f>SUM(C14:M14)</f>
        <v>1.0000000000000002</v>
      </c>
      <c r="O14" s="45"/>
    </row>
    <row r="15" spans="1:15" ht="17.25" thickBot="1" x14ac:dyDescent="0.35">
      <c r="A15" s="43"/>
      <c r="B15" s="26" t="s">
        <v>65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/>
      <c r="O15" s="45"/>
    </row>
    <row r="16" spans="1:15" x14ac:dyDescent="0.3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</row>
    <row r="17" spans="1:15" x14ac:dyDescent="0.3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</row>
    <row r="18" spans="1:15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</row>
    <row r="19" spans="1:15" x14ac:dyDescent="0.3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</row>
    <row r="20" spans="1:15" x14ac:dyDescent="0.3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</row>
    <row r="21" spans="1:15" x14ac:dyDescent="0.3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</row>
    <row r="22" spans="1:15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/>
    </row>
    <row r="23" spans="1:15" x14ac:dyDescent="0.3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</row>
    <row r="24" spans="1:15" x14ac:dyDescent="0.3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</row>
    <row r="25" spans="1:15" x14ac:dyDescent="0.3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</row>
    <row r="26" spans="1:15" x14ac:dyDescent="0.3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5"/>
    </row>
    <row r="27" spans="1:15" x14ac:dyDescent="0.3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</row>
    <row r="28" spans="1:15" x14ac:dyDescent="0.3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5"/>
    </row>
    <row r="29" spans="1:15" x14ac:dyDescent="0.3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</row>
    <row r="30" spans="1:15" x14ac:dyDescent="0.3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</row>
    <row r="31" spans="1:15" x14ac:dyDescent="0.3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5"/>
    </row>
    <row r="32" spans="1:15" x14ac:dyDescent="0.3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5"/>
    </row>
    <row r="33" spans="1:15" x14ac:dyDescent="0.3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</row>
    <row r="34" spans="1:15" x14ac:dyDescent="0.3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5"/>
    </row>
    <row r="35" spans="1:15" x14ac:dyDescent="0.3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5"/>
    </row>
    <row r="36" spans="1:15" x14ac:dyDescent="0.3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</row>
    <row r="37" spans="1:15" x14ac:dyDescent="0.3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</row>
    <row r="38" spans="1:15" x14ac:dyDescent="0.3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5"/>
    </row>
    <row r="39" spans="1:15" x14ac:dyDescent="0.3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5"/>
    </row>
    <row r="40" spans="1:15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5"/>
    </row>
    <row r="41" spans="1:15" x14ac:dyDescent="0.3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5"/>
    </row>
    <row r="42" spans="1:15" x14ac:dyDescent="0.3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5"/>
    </row>
    <row r="43" spans="1:15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5"/>
    </row>
    <row r="44" spans="1:15" x14ac:dyDescent="0.3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5"/>
    </row>
    <row r="45" spans="1:15" x14ac:dyDescent="0.3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5"/>
    </row>
    <row r="46" spans="1:15" x14ac:dyDescent="0.3">
      <c r="A46" s="4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5"/>
    </row>
    <row r="47" spans="1:15" ht="17.25" thickBot="1" x14ac:dyDescent="0.35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9"/>
    </row>
    <row r="48" spans="1:15" ht="17.25" thickTop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2">
    <mergeCell ref="A2:O2"/>
    <mergeCell ref="A3:O3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9" workbookViewId="0">
      <selection activeCell="M5" sqref="M5"/>
    </sheetView>
  </sheetViews>
  <sheetFormatPr defaultRowHeight="16.5" x14ac:dyDescent="0.3"/>
  <cols>
    <col min="2" max="2" width="15.875" bestFit="1" customWidth="1"/>
    <col min="3" max="3" width="31.125" bestFit="1" customWidth="1"/>
    <col min="7" max="7" width="9.25" bestFit="1" customWidth="1"/>
  </cols>
  <sheetData>
    <row r="1" spans="1:11" x14ac:dyDescent="0.3">
      <c r="A1" s="84" t="s">
        <v>0</v>
      </c>
      <c r="B1" s="85"/>
      <c r="C1" s="85"/>
      <c r="D1" s="17" t="s">
        <v>1</v>
      </c>
      <c r="E1" s="77" t="s">
        <v>2</v>
      </c>
      <c r="F1" s="78"/>
      <c r="G1" s="79"/>
      <c r="H1" s="17" t="s">
        <v>3</v>
      </c>
      <c r="I1" s="17" t="s">
        <v>4</v>
      </c>
      <c r="J1" s="1"/>
      <c r="K1" s="1"/>
    </row>
    <row r="2" spans="1:11" x14ac:dyDescent="0.3">
      <c r="A2" s="86" t="s">
        <v>5</v>
      </c>
      <c r="B2" s="15" t="s">
        <v>54</v>
      </c>
      <c r="C2" s="15"/>
      <c r="D2" s="15"/>
      <c r="E2" s="16">
        <v>0.02</v>
      </c>
      <c r="F2" s="16">
        <v>0.02</v>
      </c>
      <c r="G2" s="16">
        <f>SUM(G3:G4)</f>
        <v>1</v>
      </c>
      <c r="H2" s="54">
        <f>SUM(H3:H4)</f>
        <v>0.02</v>
      </c>
      <c r="I2" s="15"/>
      <c r="J2" s="1"/>
      <c r="K2" s="1"/>
    </row>
    <row r="3" spans="1:11" x14ac:dyDescent="0.3">
      <c r="A3" s="87"/>
      <c r="B3" s="3" t="s">
        <v>71</v>
      </c>
      <c r="C3" s="3"/>
      <c r="D3" s="3"/>
      <c r="E3" s="3"/>
      <c r="F3" s="4">
        <v>0.02</v>
      </c>
      <c r="G3" s="4">
        <v>0.5</v>
      </c>
      <c r="H3" s="55">
        <f>F3*G3/G$2</f>
        <v>0.01</v>
      </c>
      <c r="I3" s="3" t="s">
        <v>58</v>
      </c>
      <c r="J3" s="1"/>
      <c r="K3" s="1"/>
    </row>
    <row r="4" spans="1:11" x14ac:dyDescent="0.3">
      <c r="A4" s="88"/>
      <c r="B4" s="13" t="s">
        <v>72</v>
      </c>
      <c r="C4" s="13"/>
      <c r="D4" s="13"/>
      <c r="E4" s="13"/>
      <c r="F4" s="14">
        <v>0.02</v>
      </c>
      <c r="G4" s="14">
        <v>0.5</v>
      </c>
      <c r="H4" s="56">
        <f>F4*G4/G$2</f>
        <v>0.01</v>
      </c>
      <c r="I4" s="13" t="s">
        <v>96</v>
      </c>
      <c r="J4" s="1"/>
      <c r="K4" s="1"/>
    </row>
    <row r="5" spans="1:11" x14ac:dyDescent="0.3">
      <c r="A5" s="86" t="s">
        <v>6</v>
      </c>
      <c r="B5" s="15" t="s">
        <v>55</v>
      </c>
      <c r="C5" s="15"/>
      <c r="D5" s="15"/>
      <c r="E5" s="16">
        <v>0.25</v>
      </c>
      <c r="F5" s="16">
        <v>0.25</v>
      </c>
      <c r="G5" s="16">
        <f>SUM(G6:G10)</f>
        <v>1</v>
      </c>
      <c r="H5" s="54">
        <f>SUM(H6:H10)</f>
        <v>0.25</v>
      </c>
      <c r="I5" s="15"/>
      <c r="J5" s="1"/>
      <c r="K5" s="1"/>
    </row>
    <row r="6" spans="1:11" x14ac:dyDescent="0.3">
      <c r="A6" s="89"/>
      <c r="B6" s="80" t="s">
        <v>7</v>
      </c>
      <c r="C6" s="9" t="s">
        <v>87</v>
      </c>
      <c r="D6" s="9"/>
      <c r="E6" s="9"/>
      <c r="F6" s="10">
        <v>0.25</v>
      </c>
      <c r="G6" s="10">
        <v>0.9</v>
      </c>
      <c r="H6" s="53">
        <f>F6*G6/G$5</f>
        <v>0.22500000000000001</v>
      </c>
      <c r="I6" s="9" t="s">
        <v>8</v>
      </c>
      <c r="J6" s="1"/>
      <c r="K6" s="1"/>
    </row>
    <row r="7" spans="1:11" x14ac:dyDescent="0.3">
      <c r="A7" s="89"/>
      <c r="B7" s="81"/>
      <c r="C7" s="9" t="s">
        <v>88</v>
      </c>
      <c r="D7" s="9"/>
      <c r="E7" s="9"/>
      <c r="F7" s="10">
        <v>0.25</v>
      </c>
      <c r="G7" s="10">
        <v>0.05</v>
      </c>
      <c r="H7" s="53">
        <f t="shared" ref="H7:H10" si="0">F7*G7/G$5</f>
        <v>1.2500000000000001E-2</v>
      </c>
      <c r="I7" s="9" t="s">
        <v>58</v>
      </c>
      <c r="J7" s="1"/>
      <c r="K7" s="1"/>
    </row>
    <row r="8" spans="1:11" x14ac:dyDescent="0.3">
      <c r="A8" s="89"/>
      <c r="B8" s="81"/>
      <c r="C8" s="9" t="s">
        <v>89</v>
      </c>
      <c r="D8" s="9"/>
      <c r="E8" s="9"/>
      <c r="F8" s="10">
        <v>0.25</v>
      </c>
      <c r="G8" s="10">
        <v>0.05</v>
      </c>
      <c r="H8" s="53">
        <f t="shared" si="0"/>
        <v>1.2500000000000001E-2</v>
      </c>
      <c r="I8" s="9" t="s">
        <v>90</v>
      </c>
      <c r="J8" s="1"/>
      <c r="K8" s="1"/>
    </row>
    <row r="9" spans="1:11" x14ac:dyDescent="0.3">
      <c r="A9" s="89"/>
      <c r="B9" s="81"/>
      <c r="C9" s="9"/>
      <c r="D9" s="9"/>
      <c r="E9" s="9"/>
      <c r="F9" s="10">
        <v>0.25</v>
      </c>
      <c r="G9" s="10">
        <v>0</v>
      </c>
      <c r="H9" s="53">
        <f t="shared" si="0"/>
        <v>0</v>
      </c>
      <c r="I9" s="9"/>
      <c r="J9" s="1"/>
      <c r="K9" s="1"/>
    </row>
    <row r="10" spans="1:11" x14ac:dyDescent="0.3">
      <c r="A10" s="90"/>
      <c r="B10" s="83"/>
      <c r="C10" s="7"/>
      <c r="D10" s="7"/>
      <c r="E10" s="7"/>
      <c r="F10" s="8">
        <v>0.25</v>
      </c>
      <c r="G10" s="8">
        <v>0</v>
      </c>
      <c r="H10" s="57">
        <f t="shared" si="0"/>
        <v>0</v>
      </c>
      <c r="I10" s="7"/>
      <c r="J10" s="1"/>
      <c r="K10" s="1"/>
    </row>
    <row r="11" spans="1:11" x14ac:dyDescent="0.3">
      <c r="A11" s="91" t="s">
        <v>9</v>
      </c>
      <c r="B11" s="18" t="s">
        <v>55</v>
      </c>
      <c r="C11" s="18"/>
      <c r="D11" s="18"/>
      <c r="E11" s="19">
        <v>0.2</v>
      </c>
      <c r="F11" s="19">
        <v>0.2</v>
      </c>
      <c r="G11" s="19">
        <f>SUM(G12:G50)</f>
        <v>1.2100000000000004</v>
      </c>
      <c r="H11" s="58">
        <f>SUM(H12:H50)</f>
        <v>0.2</v>
      </c>
      <c r="I11" s="18"/>
      <c r="J11" s="1"/>
      <c r="K11" s="1"/>
    </row>
    <row r="12" spans="1:11" x14ac:dyDescent="0.3">
      <c r="A12" s="89"/>
      <c r="B12" s="80" t="s">
        <v>10</v>
      </c>
      <c r="C12" s="9" t="s">
        <v>11</v>
      </c>
      <c r="D12" s="9"/>
      <c r="E12" s="9"/>
      <c r="F12" s="10">
        <v>0.2</v>
      </c>
      <c r="G12" s="10">
        <v>0.01</v>
      </c>
      <c r="H12" s="53">
        <f>F12*G12/G$11</f>
        <v>1.6528925619834706E-3</v>
      </c>
      <c r="I12" s="9" t="s">
        <v>8</v>
      </c>
      <c r="J12" s="1"/>
      <c r="K12" s="1"/>
    </row>
    <row r="13" spans="1:11" x14ac:dyDescent="0.3">
      <c r="A13" s="89"/>
      <c r="B13" s="81"/>
      <c r="C13" s="9" t="s">
        <v>12</v>
      </c>
      <c r="D13" s="9"/>
      <c r="E13" s="9"/>
      <c r="F13" s="10">
        <v>0.2</v>
      </c>
      <c r="G13" s="10">
        <v>0.01</v>
      </c>
      <c r="H13" s="53">
        <f t="shared" ref="H13:H50" si="1">F13*G13/G$11</f>
        <v>1.6528925619834706E-3</v>
      </c>
      <c r="I13" s="9" t="s">
        <v>8</v>
      </c>
      <c r="J13" s="1"/>
      <c r="K13" s="1"/>
    </row>
    <row r="14" spans="1:11" x14ac:dyDescent="0.3">
      <c r="A14" s="89"/>
      <c r="B14" s="81"/>
      <c r="C14" s="9" t="s">
        <v>13</v>
      </c>
      <c r="D14" s="9"/>
      <c r="E14" s="9"/>
      <c r="F14" s="10">
        <v>0.2</v>
      </c>
      <c r="G14" s="10">
        <v>0.01</v>
      </c>
      <c r="H14" s="53">
        <f t="shared" si="1"/>
        <v>1.6528925619834706E-3</v>
      </c>
      <c r="I14" s="9" t="s">
        <v>8</v>
      </c>
      <c r="J14" s="1"/>
      <c r="K14" s="1"/>
    </row>
    <row r="15" spans="1:11" x14ac:dyDescent="0.3">
      <c r="A15" s="89"/>
      <c r="B15" s="81"/>
      <c r="C15" s="9" t="s">
        <v>14</v>
      </c>
      <c r="D15" s="9"/>
      <c r="E15" s="9"/>
      <c r="F15" s="10">
        <v>0.2</v>
      </c>
      <c r="G15" s="10">
        <v>0.01</v>
      </c>
      <c r="H15" s="53">
        <f t="shared" si="1"/>
        <v>1.6528925619834706E-3</v>
      </c>
      <c r="I15" s="9" t="s">
        <v>8</v>
      </c>
      <c r="J15" s="1"/>
      <c r="K15" s="1"/>
    </row>
    <row r="16" spans="1:11" x14ac:dyDescent="0.3">
      <c r="A16" s="89"/>
      <c r="B16" s="81"/>
      <c r="C16" s="9" t="s">
        <v>15</v>
      </c>
      <c r="D16" s="9"/>
      <c r="E16" s="9"/>
      <c r="F16" s="10">
        <v>0.2</v>
      </c>
      <c r="G16" s="10">
        <v>0.01</v>
      </c>
      <c r="H16" s="53">
        <f t="shared" si="1"/>
        <v>1.6528925619834706E-3</v>
      </c>
      <c r="I16" s="9" t="s">
        <v>8</v>
      </c>
      <c r="J16" s="1"/>
      <c r="K16" s="1"/>
    </row>
    <row r="17" spans="1:11" x14ac:dyDescent="0.3">
      <c r="A17" s="89"/>
      <c r="B17" s="81"/>
      <c r="C17" s="9" t="s">
        <v>16</v>
      </c>
      <c r="D17" s="9"/>
      <c r="E17" s="9"/>
      <c r="F17" s="10">
        <v>0.2</v>
      </c>
      <c r="G17" s="10">
        <v>0.01</v>
      </c>
      <c r="H17" s="53">
        <f t="shared" si="1"/>
        <v>1.6528925619834706E-3</v>
      </c>
      <c r="I17" s="9" t="s">
        <v>8</v>
      </c>
      <c r="J17" s="1"/>
      <c r="K17" s="1"/>
    </row>
    <row r="18" spans="1:11" x14ac:dyDescent="0.3">
      <c r="A18" s="89"/>
      <c r="B18" s="81"/>
      <c r="C18" s="9" t="s">
        <v>17</v>
      </c>
      <c r="D18" s="9"/>
      <c r="E18" s="9"/>
      <c r="F18" s="10">
        <v>0.2</v>
      </c>
      <c r="G18" s="10">
        <v>0.01</v>
      </c>
      <c r="H18" s="53">
        <f t="shared" si="1"/>
        <v>1.6528925619834706E-3</v>
      </c>
      <c r="I18" s="9" t="s">
        <v>8</v>
      </c>
      <c r="J18" s="1"/>
      <c r="K18" s="1"/>
    </row>
    <row r="19" spans="1:11" x14ac:dyDescent="0.3">
      <c r="A19" s="89"/>
      <c r="B19" s="81"/>
      <c r="C19" s="9" t="s">
        <v>18</v>
      </c>
      <c r="D19" s="9"/>
      <c r="E19" s="9"/>
      <c r="F19" s="10">
        <v>0.2</v>
      </c>
      <c r="G19" s="10">
        <v>0.05</v>
      </c>
      <c r="H19" s="53">
        <f t="shared" si="1"/>
        <v>8.2644628099173539E-3</v>
      </c>
      <c r="I19" s="9" t="s">
        <v>8</v>
      </c>
      <c r="J19" s="1"/>
      <c r="K19" s="1"/>
    </row>
    <row r="20" spans="1:11" x14ac:dyDescent="0.3">
      <c r="A20" s="89"/>
      <c r="B20" s="81"/>
      <c r="C20" s="9" t="s">
        <v>19</v>
      </c>
      <c r="D20" s="9"/>
      <c r="E20" s="9"/>
      <c r="F20" s="10">
        <v>0.2</v>
      </c>
      <c r="G20" s="10">
        <v>0.1</v>
      </c>
      <c r="H20" s="53">
        <f t="shared" si="1"/>
        <v>1.6528925619834708E-2</v>
      </c>
      <c r="I20" s="9" t="s">
        <v>8</v>
      </c>
      <c r="J20" s="1"/>
      <c r="K20" s="1"/>
    </row>
    <row r="21" spans="1:11" x14ac:dyDescent="0.3">
      <c r="A21" s="89"/>
      <c r="B21" s="81"/>
      <c r="C21" s="9" t="s">
        <v>20</v>
      </c>
      <c r="D21" s="9"/>
      <c r="E21" s="9"/>
      <c r="F21" s="10">
        <v>0.2</v>
      </c>
      <c r="G21" s="10">
        <v>0.1</v>
      </c>
      <c r="H21" s="53">
        <f t="shared" si="1"/>
        <v>1.6528925619834708E-2</v>
      </c>
      <c r="I21" s="9" t="s">
        <v>8</v>
      </c>
      <c r="J21" s="1"/>
      <c r="K21" s="1"/>
    </row>
    <row r="22" spans="1:11" x14ac:dyDescent="0.3">
      <c r="A22" s="89"/>
      <c r="B22" s="81"/>
      <c r="C22" s="9" t="s">
        <v>21</v>
      </c>
      <c r="D22" s="9"/>
      <c r="E22" s="9"/>
      <c r="F22" s="10">
        <v>0.2</v>
      </c>
      <c r="G22" s="10">
        <v>0.01</v>
      </c>
      <c r="H22" s="53">
        <f t="shared" si="1"/>
        <v>1.6528925619834706E-3</v>
      </c>
      <c r="I22" s="9" t="s">
        <v>8</v>
      </c>
      <c r="J22" s="1"/>
      <c r="K22" s="1"/>
    </row>
    <row r="23" spans="1:11" x14ac:dyDescent="0.3">
      <c r="A23" s="89"/>
      <c r="B23" s="81"/>
      <c r="C23" s="9" t="s">
        <v>22</v>
      </c>
      <c r="D23" s="9"/>
      <c r="E23" s="9"/>
      <c r="F23" s="10">
        <v>0.2</v>
      </c>
      <c r="G23" s="10">
        <v>0.01</v>
      </c>
      <c r="H23" s="53">
        <f t="shared" si="1"/>
        <v>1.6528925619834706E-3</v>
      </c>
      <c r="I23" s="9" t="s">
        <v>8</v>
      </c>
      <c r="J23" s="1"/>
      <c r="K23" s="1"/>
    </row>
    <row r="24" spans="1:11" x14ac:dyDescent="0.3">
      <c r="A24" s="89"/>
      <c r="B24" s="81"/>
      <c r="C24" s="9" t="s">
        <v>23</v>
      </c>
      <c r="D24" s="9"/>
      <c r="E24" s="9"/>
      <c r="F24" s="10">
        <v>0.2</v>
      </c>
      <c r="G24" s="10">
        <v>0.01</v>
      </c>
      <c r="H24" s="53">
        <f t="shared" si="1"/>
        <v>1.6528925619834706E-3</v>
      </c>
      <c r="I24" s="9" t="s">
        <v>8</v>
      </c>
      <c r="J24" s="1"/>
      <c r="K24" s="1"/>
    </row>
    <row r="25" spans="1:11" x14ac:dyDescent="0.3">
      <c r="A25" s="89"/>
      <c r="B25" s="81"/>
      <c r="C25" s="9" t="s">
        <v>24</v>
      </c>
      <c r="D25" s="9"/>
      <c r="E25" s="9"/>
      <c r="F25" s="10">
        <v>0.2</v>
      </c>
      <c r="G25" s="10">
        <v>0.01</v>
      </c>
      <c r="H25" s="53">
        <f t="shared" si="1"/>
        <v>1.6528925619834706E-3</v>
      </c>
      <c r="I25" s="9" t="s">
        <v>8</v>
      </c>
      <c r="J25" s="1"/>
      <c r="K25" s="1"/>
    </row>
    <row r="26" spans="1:11" x14ac:dyDescent="0.3">
      <c r="A26" s="89"/>
      <c r="B26" s="81"/>
      <c r="C26" s="9" t="s">
        <v>25</v>
      </c>
      <c r="D26" s="9"/>
      <c r="E26" s="9"/>
      <c r="F26" s="10">
        <v>0.2</v>
      </c>
      <c r="G26" s="10">
        <v>0.01</v>
      </c>
      <c r="H26" s="53">
        <f t="shared" si="1"/>
        <v>1.6528925619834706E-3</v>
      </c>
      <c r="I26" s="9" t="s">
        <v>8</v>
      </c>
      <c r="J26" s="1"/>
      <c r="K26" s="1"/>
    </row>
    <row r="27" spans="1:11" x14ac:dyDescent="0.3">
      <c r="A27" s="89"/>
      <c r="B27" s="81"/>
      <c r="C27" s="9" t="s">
        <v>84</v>
      </c>
      <c r="D27" s="9"/>
      <c r="E27" s="9"/>
      <c r="F27" s="10">
        <v>0.2</v>
      </c>
      <c r="G27" s="10">
        <v>0.01</v>
      </c>
      <c r="H27" s="53">
        <f t="shared" si="1"/>
        <v>1.6528925619834706E-3</v>
      </c>
      <c r="I27" s="9" t="s">
        <v>58</v>
      </c>
      <c r="J27" s="1"/>
      <c r="K27" s="1"/>
    </row>
    <row r="28" spans="1:11" x14ac:dyDescent="0.3">
      <c r="A28" s="89"/>
      <c r="B28" s="81"/>
      <c r="C28" s="9" t="s">
        <v>85</v>
      </c>
      <c r="D28" s="9"/>
      <c r="E28" s="9"/>
      <c r="F28" s="10">
        <v>0.2</v>
      </c>
      <c r="G28" s="10">
        <v>0.01</v>
      </c>
      <c r="H28" s="53">
        <f t="shared" si="1"/>
        <v>1.6528925619834706E-3</v>
      </c>
      <c r="I28" s="9" t="s">
        <v>96</v>
      </c>
      <c r="J28" s="1"/>
      <c r="K28" s="1"/>
    </row>
    <row r="29" spans="1:11" x14ac:dyDescent="0.3">
      <c r="A29" s="89"/>
      <c r="B29" s="81"/>
      <c r="C29" s="9" t="s">
        <v>86</v>
      </c>
      <c r="D29" s="9"/>
      <c r="E29" s="9"/>
      <c r="F29" s="10">
        <v>0.2</v>
      </c>
      <c r="G29" s="10">
        <v>0.02</v>
      </c>
      <c r="H29" s="53">
        <f t="shared" si="1"/>
        <v>3.3057851239669412E-3</v>
      </c>
      <c r="I29" s="9" t="s">
        <v>96</v>
      </c>
      <c r="J29" s="1"/>
      <c r="K29" s="1"/>
    </row>
    <row r="30" spans="1:11" x14ac:dyDescent="0.3">
      <c r="A30" s="89"/>
      <c r="B30" s="83"/>
      <c r="C30" s="13"/>
      <c r="D30" s="13"/>
      <c r="E30" s="13"/>
      <c r="F30" s="14">
        <v>0.2</v>
      </c>
      <c r="G30" s="14">
        <v>0</v>
      </c>
      <c r="H30" s="56">
        <f t="shared" si="1"/>
        <v>0</v>
      </c>
      <c r="I30" s="13"/>
      <c r="J30" s="1"/>
      <c r="K30" s="1"/>
    </row>
    <row r="31" spans="1:11" x14ac:dyDescent="0.3">
      <c r="A31" s="89"/>
      <c r="B31" s="93" t="s">
        <v>26</v>
      </c>
      <c r="C31" s="5" t="s">
        <v>103</v>
      </c>
      <c r="D31" s="5"/>
      <c r="E31" s="5"/>
      <c r="F31" s="6">
        <v>0.2</v>
      </c>
      <c r="G31" s="6">
        <v>0.3</v>
      </c>
      <c r="H31" s="59">
        <f t="shared" si="1"/>
        <v>4.9586776859504113E-2</v>
      </c>
      <c r="I31" s="5" t="s">
        <v>97</v>
      </c>
      <c r="J31" s="1"/>
      <c r="K31" s="1"/>
    </row>
    <row r="32" spans="1:11" x14ac:dyDescent="0.3">
      <c r="A32" s="89"/>
      <c r="B32" s="81"/>
      <c r="C32" s="9" t="s">
        <v>27</v>
      </c>
      <c r="D32" s="9"/>
      <c r="E32" s="9"/>
      <c r="F32" s="10">
        <v>0.2</v>
      </c>
      <c r="G32" s="10">
        <v>0.01</v>
      </c>
      <c r="H32" s="53">
        <f t="shared" si="1"/>
        <v>1.6528925619834706E-3</v>
      </c>
      <c r="I32" s="9" t="s">
        <v>8</v>
      </c>
      <c r="J32" s="1"/>
      <c r="K32" s="1"/>
    </row>
    <row r="33" spans="1:11" x14ac:dyDescent="0.3">
      <c r="A33" s="89"/>
      <c r="B33" s="81"/>
      <c r="C33" s="9" t="s">
        <v>28</v>
      </c>
      <c r="D33" s="9"/>
      <c r="E33" s="9"/>
      <c r="F33" s="10">
        <v>0.2</v>
      </c>
      <c r="G33" s="10">
        <v>0.01</v>
      </c>
      <c r="H33" s="53">
        <f t="shared" si="1"/>
        <v>1.6528925619834706E-3</v>
      </c>
      <c r="I33" s="9" t="s">
        <v>8</v>
      </c>
      <c r="J33" s="1"/>
      <c r="K33" s="1"/>
    </row>
    <row r="34" spans="1:11" x14ac:dyDescent="0.3">
      <c r="A34" s="89"/>
      <c r="B34" s="81"/>
      <c r="C34" s="9" t="s">
        <v>29</v>
      </c>
      <c r="D34" s="9"/>
      <c r="E34" s="9"/>
      <c r="F34" s="10">
        <v>0.2</v>
      </c>
      <c r="G34" s="10">
        <v>0.01</v>
      </c>
      <c r="H34" s="53">
        <f t="shared" si="1"/>
        <v>1.6528925619834706E-3</v>
      </c>
      <c r="I34" s="9" t="s">
        <v>96</v>
      </c>
      <c r="J34" s="1"/>
      <c r="K34" s="1"/>
    </row>
    <row r="35" spans="1:11" x14ac:dyDescent="0.3">
      <c r="A35" s="89"/>
      <c r="B35" s="81"/>
      <c r="C35" s="9" t="s">
        <v>30</v>
      </c>
      <c r="D35" s="9"/>
      <c r="E35" s="9"/>
      <c r="F35" s="10">
        <v>0.2</v>
      </c>
      <c r="G35" s="10">
        <v>0.01</v>
      </c>
      <c r="H35" s="53">
        <f t="shared" si="1"/>
        <v>1.6528925619834706E-3</v>
      </c>
      <c r="I35" s="9" t="s">
        <v>8</v>
      </c>
      <c r="J35" s="1"/>
      <c r="K35" s="1"/>
    </row>
    <row r="36" spans="1:11" x14ac:dyDescent="0.3">
      <c r="A36" s="89"/>
      <c r="B36" s="81"/>
      <c r="C36" s="9" t="s">
        <v>31</v>
      </c>
      <c r="D36" s="9"/>
      <c r="E36" s="9"/>
      <c r="F36" s="10">
        <v>0.2</v>
      </c>
      <c r="G36" s="10">
        <v>0.01</v>
      </c>
      <c r="H36" s="53">
        <f t="shared" si="1"/>
        <v>1.6528925619834706E-3</v>
      </c>
      <c r="I36" s="9" t="s">
        <v>96</v>
      </c>
      <c r="J36" s="1"/>
      <c r="K36" s="1"/>
    </row>
    <row r="37" spans="1:11" x14ac:dyDescent="0.3">
      <c r="A37" s="89"/>
      <c r="B37" s="81"/>
      <c r="C37" s="9" t="s">
        <v>32</v>
      </c>
      <c r="D37" s="9"/>
      <c r="E37" s="9"/>
      <c r="F37" s="10">
        <v>0.2</v>
      </c>
      <c r="G37" s="10">
        <v>0.01</v>
      </c>
      <c r="H37" s="53">
        <f t="shared" si="1"/>
        <v>1.6528925619834706E-3</v>
      </c>
      <c r="I37" s="9" t="s">
        <v>8</v>
      </c>
      <c r="J37" s="1"/>
      <c r="K37" s="1"/>
    </row>
    <row r="38" spans="1:11" x14ac:dyDescent="0.3">
      <c r="A38" s="89"/>
      <c r="B38" s="81"/>
      <c r="C38" s="9" t="s">
        <v>33</v>
      </c>
      <c r="D38" s="9"/>
      <c r="E38" s="9"/>
      <c r="F38" s="10">
        <v>0.2</v>
      </c>
      <c r="G38" s="10">
        <v>0.01</v>
      </c>
      <c r="H38" s="53">
        <f t="shared" si="1"/>
        <v>1.6528925619834706E-3</v>
      </c>
      <c r="I38" s="9" t="s">
        <v>8</v>
      </c>
      <c r="J38" s="1"/>
      <c r="K38" s="1"/>
    </row>
    <row r="39" spans="1:11" x14ac:dyDescent="0.3">
      <c r="A39" s="89"/>
      <c r="B39" s="81"/>
      <c r="C39" s="9" t="s">
        <v>34</v>
      </c>
      <c r="D39" s="9"/>
      <c r="E39" s="9"/>
      <c r="F39" s="10">
        <v>0.2</v>
      </c>
      <c r="G39" s="10">
        <v>0.01</v>
      </c>
      <c r="H39" s="53">
        <f t="shared" si="1"/>
        <v>1.6528925619834706E-3</v>
      </c>
      <c r="I39" s="9" t="s">
        <v>96</v>
      </c>
      <c r="J39" s="1"/>
      <c r="K39" s="1"/>
    </row>
    <row r="40" spans="1:11" x14ac:dyDescent="0.3">
      <c r="A40" s="89"/>
      <c r="B40" s="81"/>
      <c r="C40" s="9" t="s">
        <v>35</v>
      </c>
      <c r="D40" s="9"/>
      <c r="E40" s="9"/>
      <c r="F40" s="10">
        <v>0.2</v>
      </c>
      <c r="G40" s="10">
        <v>0.05</v>
      </c>
      <c r="H40" s="53">
        <f t="shared" si="1"/>
        <v>8.2644628099173539E-3</v>
      </c>
      <c r="I40" s="9" t="s">
        <v>96</v>
      </c>
      <c r="J40" s="1"/>
      <c r="K40" s="1"/>
    </row>
    <row r="41" spans="1:11" x14ac:dyDescent="0.3">
      <c r="A41" s="89"/>
      <c r="B41" s="81"/>
      <c r="C41" s="9" t="s">
        <v>36</v>
      </c>
      <c r="D41" s="9"/>
      <c r="E41" s="9"/>
      <c r="F41" s="10">
        <v>0.2</v>
      </c>
      <c r="G41" s="10">
        <v>0.1</v>
      </c>
      <c r="H41" s="53">
        <f t="shared" si="1"/>
        <v>1.6528925619834708E-2</v>
      </c>
      <c r="I41" s="9" t="s">
        <v>96</v>
      </c>
      <c r="J41" s="1"/>
      <c r="K41" s="1"/>
    </row>
    <row r="42" spans="1:11" x14ac:dyDescent="0.3">
      <c r="A42" s="89"/>
      <c r="B42" s="81"/>
      <c r="C42" s="9" t="s">
        <v>37</v>
      </c>
      <c r="D42" s="9"/>
      <c r="E42" s="9"/>
      <c r="F42" s="10">
        <v>0.2</v>
      </c>
      <c r="G42" s="10">
        <v>0.01</v>
      </c>
      <c r="H42" s="53">
        <f t="shared" si="1"/>
        <v>1.6528925619834706E-3</v>
      </c>
      <c r="I42" s="9" t="s">
        <v>96</v>
      </c>
      <c r="J42" s="1"/>
      <c r="K42" s="1"/>
    </row>
    <row r="43" spans="1:11" x14ac:dyDescent="0.3">
      <c r="A43" s="89"/>
      <c r="B43" s="81"/>
      <c r="C43" s="9" t="s">
        <v>38</v>
      </c>
      <c r="D43" s="9"/>
      <c r="E43" s="9"/>
      <c r="F43" s="10">
        <v>0.2</v>
      </c>
      <c r="G43" s="10">
        <v>0.01</v>
      </c>
      <c r="H43" s="53">
        <f t="shared" si="1"/>
        <v>1.6528925619834706E-3</v>
      </c>
      <c r="I43" s="9" t="s">
        <v>96</v>
      </c>
      <c r="J43" s="1"/>
      <c r="K43" s="1"/>
    </row>
    <row r="44" spans="1:11" x14ac:dyDescent="0.3">
      <c r="A44" s="89"/>
      <c r="B44" s="81"/>
      <c r="C44" s="9" t="s">
        <v>39</v>
      </c>
      <c r="D44" s="9"/>
      <c r="E44" s="9"/>
      <c r="F44" s="10">
        <v>0.2</v>
      </c>
      <c r="G44" s="10">
        <v>0.1</v>
      </c>
      <c r="H44" s="53">
        <f t="shared" si="1"/>
        <v>1.6528925619834708E-2</v>
      </c>
      <c r="I44" s="9" t="s">
        <v>96</v>
      </c>
      <c r="J44" s="1"/>
      <c r="K44" s="1"/>
    </row>
    <row r="45" spans="1:11" x14ac:dyDescent="0.3">
      <c r="A45" s="89"/>
      <c r="B45" s="81"/>
      <c r="C45" s="9" t="s">
        <v>40</v>
      </c>
      <c r="D45" s="9"/>
      <c r="E45" s="9"/>
      <c r="F45" s="10">
        <v>0.2</v>
      </c>
      <c r="G45" s="10">
        <v>0.1</v>
      </c>
      <c r="H45" s="53">
        <f t="shared" si="1"/>
        <v>1.6528925619834708E-2</v>
      </c>
      <c r="I45" s="9" t="s">
        <v>96</v>
      </c>
      <c r="J45" s="1"/>
      <c r="K45" s="1"/>
    </row>
    <row r="46" spans="1:11" x14ac:dyDescent="0.3">
      <c r="A46" s="89"/>
      <c r="B46" s="81"/>
      <c r="C46" s="9" t="s">
        <v>41</v>
      </c>
      <c r="D46" s="9"/>
      <c r="E46" s="9"/>
      <c r="F46" s="10">
        <v>0.2</v>
      </c>
      <c r="G46" s="10">
        <v>0.05</v>
      </c>
      <c r="H46" s="53">
        <f t="shared" si="1"/>
        <v>8.2644628099173539E-3</v>
      </c>
      <c r="I46" s="9" t="s">
        <v>8</v>
      </c>
      <c r="J46" s="1"/>
      <c r="K46" s="1"/>
    </row>
    <row r="47" spans="1:11" x14ac:dyDescent="0.3">
      <c r="A47" s="89"/>
      <c r="B47" s="81"/>
      <c r="C47" s="9"/>
      <c r="D47" s="9"/>
      <c r="E47" s="9"/>
      <c r="F47" s="10">
        <v>0.2</v>
      </c>
      <c r="G47" s="10">
        <v>0</v>
      </c>
      <c r="H47" s="53">
        <f t="shared" si="1"/>
        <v>0</v>
      </c>
      <c r="I47" s="9"/>
      <c r="J47" s="1"/>
      <c r="K47" s="1"/>
    </row>
    <row r="48" spans="1:11" x14ac:dyDescent="0.3">
      <c r="A48" s="89"/>
      <c r="B48" s="81"/>
      <c r="C48" s="9"/>
      <c r="D48" s="9"/>
      <c r="E48" s="9"/>
      <c r="F48" s="10">
        <v>0.2</v>
      </c>
      <c r="G48" s="10">
        <v>0</v>
      </c>
      <c r="H48" s="53">
        <f t="shared" si="1"/>
        <v>0</v>
      </c>
      <c r="I48" s="9"/>
      <c r="J48" s="1"/>
      <c r="K48" s="1"/>
    </row>
    <row r="49" spans="1:11" x14ac:dyDescent="0.3">
      <c r="A49" s="89"/>
      <c r="B49" s="81"/>
      <c r="C49" s="9"/>
      <c r="D49" s="9"/>
      <c r="E49" s="9"/>
      <c r="F49" s="10">
        <v>0.2</v>
      </c>
      <c r="G49" s="10">
        <v>0</v>
      </c>
      <c r="H49" s="53">
        <f t="shared" si="1"/>
        <v>0</v>
      </c>
      <c r="I49" s="9"/>
      <c r="J49" s="1"/>
      <c r="K49" s="1"/>
    </row>
    <row r="50" spans="1:11" x14ac:dyDescent="0.3">
      <c r="A50" s="88"/>
      <c r="B50" s="83"/>
      <c r="C50" s="13"/>
      <c r="D50" s="13"/>
      <c r="E50" s="13"/>
      <c r="F50" s="14">
        <v>0.2</v>
      </c>
      <c r="G50" s="14">
        <v>0</v>
      </c>
      <c r="H50" s="56">
        <f t="shared" si="1"/>
        <v>0</v>
      </c>
      <c r="I50" s="13"/>
      <c r="J50" s="1"/>
      <c r="K50" s="1"/>
    </row>
    <row r="51" spans="1:11" x14ac:dyDescent="0.3">
      <c r="A51" s="86" t="s">
        <v>42</v>
      </c>
      <c r="B51" s="15" t="s">
        <v>55</v>
      </c>
      <c r="C51" s="15"/>
      <c r="D51" s="15"/>
      <c r="E51" s="16">
        <v>0.2</v>
      </c>
      <c r="F51" s="16">
        <v>0.2</v>
      </c>
      <c r="G51" s="16">
        <f>SUM(G52:G57)</f>
        <v>1</v>
      </c>
      <c r="H51" s="54">
        <f>SUM(H52:H57)</f>
        <v>0.20000000000000004</v>
      </c>
      <c r="I51" s="15"/>
      <c r="J51" s="1"/>
      <c r="K51" s="1"/>
    </row>
    <row r="52" spans="1:11" x14ac:dyDescent="0.3">
      <c r="A52" s="89"/>
      <c r="B52" s="9" t="s">
        <v>43</v>
      </c>
      <c r="C52" s="9" t="s">
        <v>91</v>
      </c>
      <c r="D52" s="9"/>
      <c r="E52" s="9"/>
      <c r="F52" s="10">
        <v>0.2</v>
      </c>
      <c r="G52" s="10">
        <v>0.4</v>
      </c>
      <c r="H52" s="53">
        <f>F52*G52/G$51</f>
        <v>8.0000000000000016E-2</v>
      </c>
      <c r="I52" s="9" t="s">
        <v>8</v>
      </c>
      <c r="J52" s="1"/>
      <c r="K52" s="1"/>
    </row>
    <row r="53" spans="1:11" x14ac:dyDescent="0.3">
      <c r="A53" s="89"/>
      <c r="B53" s="80" t="s">
        <v>44</v>
      </c>
      <c r="C53" s="9" t="s">
        <v>56</v>
      </c>
      <c r="D53" s="9"/>
      <c r="E53" s="9"/>
      <c r="F53" s="10">
        <v>0.2</v>
      </c>
      <c r="G53" s="10">
        <v>0.1</v>
      </c>
      <c r="H53" s="53">
        <f t="shared" ref="H53:H57" si="2">F53*G53/G$51</f>
        <v>2.0000000000000004E-2</v>
      </c>
      <c r="I53" s="9" t="s">
        <v>8</v>
      </c>
      <c r="J53" s="1"/>
      <c r="K53" s="1"/>
    </row>
    <row r="54" spans="1:11" x14ac:dyDescent="0.3">
      <c r="A54" s="89"/>
      <c r="B54" s="81"/>
      <c r="C54" s="9" t="s">
        <v>79</v>
      </c>
      <c r="D54" s="9"/>
      <c r="E54" s="9"/>
      <c r="F54" s="10">
        <v>0.2</v>
      </c>
      <c r="G54" s="10">
        <v>0.2</v>
      </c>
      <c r="H54" s="53">
        <f t="shared" si="2"/>
        <v>4.0000000000000008E-2</v>
      </c>
      <c r="I54" s="9" t="s">
        <v>96</v>
      </c>
      <c r="J54" s="1"/>
      <c r="K54" s="1"/>
    </row>
    <row r="55" spans="1:11" x14ac:dyDescent="0.3">
      <c r="A55" s="89"/>
      <c r="B55" s="81"/>
      <c r="C55" s="9" t="s">
        <v>80</v>
      </c>
      <c r="D55" s="9"/>
      <c r="E55" s="9"/>
      <c r="F55" s="10">
        <v>0.2</v>
      </c>
      <c r="G55" s="10">
        <v>0.05</v>
      </c>
      <c r="H55" s="53">
        <f t="shared" si="2"/>
        <v>1.0000000000000002E-2</v>
      </c>
      <c r="I55" s="9" t="s">
        <v>96</v>
      </c>
      <c r="J55" s="1"/>
      <c r="K55" s="1"/>
    </row>
    <row r="56" spans="1:11" x14ac:dyDescent="0.3">
      <c r="A56" s="89"/>
      <c r="B56" s="82"/>
      <c r="C56" s="9" t="s">
        <v>57</v>
      </c>
      <c r="D56" s="9"/>
      <c r="E56" s="9"/>
      <c r="F56" s="10">
        <v>0.2</v>
      </c>
      <c r="G56" s="10">
        <v>0.1</v>
      </c>
      <c r="H56" s="53">
        <f t="shared" si="2"/>
        <v>2.0000000000000004E-2</v>
      </c>
      <c r="I56" s="9" t="s">
        <v>58</v>
      </c>
      <c r="J56" s="1"/>
      <c r="K56" s="1"/>
    </row>
    <row r="57" spans="1:11" x14ac:dyDescent="0.3">
      <c r="A57" s="90"/>
      <c r="B57" s="7" t="s">
        <v>45</v>
      </c>
      <c r="C57" s="7" t="s">
        <v>59</v>
      </c>
      <c r="D57" s="7"/>
      <c r="E57" s="7"/>
      <c r="F57" s="8">
        <v>0.2</v>
      </c>
      <c r="G57" s="8">
        <v>0.15</v>
      </c>
      <c r="H57" s="57">
        <f t="shared" si="2"/>
        <v>0.03</v>
      </c>
      <c r="I57" s="7" t="s">
        <v>8</v>
      </c>
      <c r="J57" s="1"/>
      <c r="K57" s="1"/>
    </row>
    <row r="58" spans="1:11" x14ac:dyDescent="0.3">
      <c r="A58" s="91" t="s">
        <v>46</v>
      </c>
      <c r="B58" s="18" t="s">
        <v>55</v>
      </c>
      <c r="C58" s="18"/>
      <c r="D58" s="18"/>
      <c r="E58" s="19">
        <v>0.03</v>
      </c>
      <c r="F58" s="19">
        <v>0.03</v>
      </c>
      <c r="G58" s="19">
        <f>SUM(G59:G60)</f>
        <v>1</v>
      </c>
      <c r="H58" s="58">
        <f>SUM(H59:H60)</f>
        <v>0.03</v>
      </c>
      <c r="I58" s="18"/>
      <c r="J58" s="1"/>
      <c r="K58" s="1"/>
    </row>
    <row r="59" spans="1:11" x14ac:dyDescent="0.3">
      <c r="A59" s="89"/>
      <c r="B59" s="9" t="s">
        <v>47</v>
      </c>
      <c r="C59" s="9"/>
      <c r="D59" s="9"/>
      <c r="E59" s="9"/>
      <c r="F59" s="10">
        <v>0.03</v>
      </c>
      <c r="G59" s="10">
        <v>0.5</v>
      </c>
      <c r="H59" s="53">
        <f>F59*G59/G$58</f>
        <v>1.4999999999999999E-2</v>
      </c>
      <c r="I59" s="9" t="s">
        <v>96</v>
      </c>
      <c r="J59" s="1"/>
      <c r="K59" s="1"/>
    </row>
    <row r="60" spans="1:11" x14ac:dyDescent="0.3">
      <c r="A60" s="88"/>
      <c r="B60" s="13" t="s">
        <v>48</v>
      </c>
      <c r="C60" s="13"/>
      <c r="D60" s="13"/>
      <c r="E60" s="13"/>
      <c r="F60" s="14">
        <v>0.03</v>
      </c>
      <c r="G60" s="14">
        <v>0.5</v>
      </c>
      <c r="H60" s="56">
        <f>F60*G60/G$58</f>
        <v>1.4999999999999999E-2</v>
      </c>
      <c r="I60" s="13" t="s">
        <v>96</v>
      </c>
      <c r="J60" s="1"/>
      <c r="K60" s="1"/>
    </row>
    <row r="61" spans="1:11" x14ac:dyDescent="0.3">
      <c r="A61" s="86" t="s">
        <v>49</v>
      </c>
      <c r="B61" s="15" t="s">
        <v>55</v>
      </c>
      <c r="C61" s="15"/>
      <c r="D61" s="15"/>
      <c r="E61" s="16">
        <v>0.3</v>
      </c>
      <c r="F61" s="16">
        <v>0.3</v>
      </c>
      <c r="G61" s="16">
        <f>SUM(G62:G71)</f>
        <v>1.06</v>
      </c>
      <c r="H61" s="54">
        <f>SUM(H62:H71)</f>
        <v>0.3</v>
      </c>
      <c r="I61" s="15"/>
      <c r="J61" s="1"/>
      <c r="K61" s="1"/>
    </row>
    <row r="62" spans="1:11" x14ac:dyDescent="0.3">
      <c r="A62" s="89"/>
      <c r="B62" s="9" t="s">
        <v>50</v>
      </c>
      <c r="C62" s="9" t="s">
        <v>70</v>
      </c>
      <c r="D62" s="9"/>
      <c r="E62" s="9"/>
      <c r="F62" s="10">
        <v>0.3</v>
      </c>
      <c r="G62" s="10">
        <v>0.15</v>
      </c>
      <c r="H62" s="53">
        <f>F62*G62/G$61</f>
        <v>4.2452830188679243E-2</v>
      </c>
      <c r="I62" s="9" t="s">
        <v>96</v>
      </c>
      <c r="J62" s="1"/>
      <c r="K62" s="1"/>
    </row>
    <row r="63" spans="1:11" x14ac:dyDescent="0.3">
      <c r="A63" s="89"/>
      <c r="B63" s="9" t="s">
        <v>51</v>
      </c>
      <c r="C63" s="9" t="s">
        <v>92</v>
      </c>
      <c r="D63" s="9"/>
      <c r="E63" s="9"/>
      <c r="F63" s="10">
        <v>0.3</v>
      </c>
      <c r="G63" s="10">
        <v>0.1</v>
      </c>
      <c r="H63" s="53">
        <f t="shared" ref="H63:H71" si="3">F63*G63/G$61</f>
        <v>2.8301886792452827E-2</v>
      </c>
      <c r="I63" s="9" t="s">
        <v>96</v>
      </c>
      <c r="J63" s="1"/>
      <c r="K63" s="1"/>
    </row>
    <row r="64" spans="1:11" x14ac:dyDescent="0.3">
      <c r="A64" s="89"/>
      <c r="B64" s="9" t="s">
        <v>52</v>
      </c>
      <c r="C64" s="9" t="s">
        <v>92</v>
      </c>
      <c r="D64" s="9"/>
      <c r="E64" s="9"/>
      <c r="F64" s="10">
        <v>0.3</v>
      </c>
      <c r="G64" s="10">
        <v>0.1</v>
      </c>
      <c r="H64" s="53">
        <f t="shared" si="3"/>
        <v>2.8301886792452827E-2</v>
      </c>
      <c r="I64" s="9" t="s">
        <v>96</v>
      </c>
      <c r="J64" s="1"/>
      <c r="K64" s="1"/>
    </row>
    <row r="65" spans="1:11" x14ac:dyDescent="0.3">
      <c r="A65" s="89"/>
      <c r="B65" s="80" t="s">
        <v>93</v>
      </c>
      <c r="C65" s="9" t="s">
        <v>94</v>
      </c>
      <c r="D65" s="9"/>
      <c r="E65" s="9"/>
      <c r="F65" s="10">
        <v>0.3</v>
      </c>
      <c r="G65" s="10">
        <v>0.15</v>
      </c>
      <c r="H65" s="53">
        <f t="shared" ref="H65" si="4">F65*G65/G$61</f>
        <v>4.2452830188679243E-2</v>
      </c>
      <c r="I65" s="9" t="s">
        <v>98</v>
      </c>
      <c r="J65" s="1"/>
      <c r="K65" s="1"/>
    </row>
    <row r="66" spans="1:11" x14ac:dyDescent="0.3">
      <c r="A66" s="89"/>
      <c r="B66" s="81"/>
      <c r="C66" s="9" t="s">
        <v>99</v>
      </c>
      <c r="D66" s="9"/>
      <c r="E66" s="9"/>
      <c r="F66" s="10">
        <v>0.3</v>
      </c>
      <c r="G66" s="10">
        <v>0.3</v>
      </c>
      <c r="H66" s="53">
        <f t="shared" ref="H66:H67" si="5">F66*G66/G$61</f>
        <v>8.4905660377358486E-2</v>
      </c>
      <c r="I66" s="9" t="s">
        <v>96</v>
      </c>
      <c r="J66" s="1"/>
      <c r="K66" s="1"/>
    </row>
    <row r="67" spans="1:11" x14ac:dyDescent="0.3">
      <c r="A67" s="89"/>
      <c r="B67" s="81"/>
      <c r="C67" s="9" t="s">
        <v>100</v>
      </c>
      <c r="D67" s="9"/>
      <c r="E67" s="9"/>
      <c r="F67" s="10">
        <v>0.3</v>
      </c>
      <c r="G67" s="10">
        <v>0.2</v>
      </c>
      <c r="H67" s="53">
        <f t="shared" si="5"/>
        <v>5.6603773584905655E-2</v>
      </c>
      <c r="I67" s="9" t="s">
        <v>98</v>
      </c>
      <c r="J67" s="1"/>
      <c r="K67" s="1"/>
    </row>
    <row r="68" spans="1:11" x14ac:dyDescent="0.3">
      <c r="A68" s="89"/>
      <c r="B68" s="82"/>
      <c r="C68" s="9"/>
      <c r="D68" s="9"/>
      <c r="E68" s="9"/>
      <c r="F68" s="10">
        <v>0.3</v>
      </c>
      <c r="G68" s="10">
        <v>0</v>
      </c>
      <c r="H68" s="53">
        <f t="shared" ref="H68" si="6">F68*G68/G$61</f>
        <v>0</v>
      </c>
      <c r="I68" s="9"/>
      <c r="J68" s="1"/>
      <c r="K68" s="1"/>
    </row>
    <row r="69" spans="1:11" x14ac:dyDescent="0.3">
      <c r="A69" s="89"/>
      <c r="B69" s="80" t="s">
        <v>60</v>
      </c>
      <c r="C69" s="9" t="s">
        <v>61</v>
      </c>
      <c r="D69" s="9"/>
      <c r="E69" s="9"/>
      <c r="F69" s="10">
        <v>0.3</v>
      </c>
      <c r="G69" s="10">
        <v>0.03</v>
      </c>
      <c r="H69" s="53">
        <f t="shared" si="3"/>
        <v>8.4905660377358472E-3</v>
      </c>
      <c r="I69" s="9" t="s">
        <v>96</v>
      </c>
      <c r="J69" s="1"/>
      <c r="K69" s="1"/>
    </row>
    <row r="70" spans="1:11" x14ac:dyDescent="0.3">
      <c r="A70" s="89"/>
      <c r="B70" s="82"/>
      <c r="C70" s="9" t="s">
        <v>62</v>
      </c>
      <c r="D70" s="9"/>
      <c r="E70" s="9"/>
      <c r="F70" s="10">
        <v>0.3</v>
      </c>
      <c r="G70" s="10">
        <v>0.03</v>
      </c>
      <c r="H70" s="53">
        <f t="shared" si="3"/>
        <v>8.4905660377358472E-3</v>
      </c>
      <c r="I70" s="9" t="s">
        <v>96</v>
      </c>
      <c r="J70" s="1"/>
      <c r="K70" s="1"/>
    </row>
    <row r="71" spans="1:11" ht="17.25" thickBot="1" x14ac:dyDescent="0.35">
      <c r="A71" s="92"/>
      <c r="B71" s="11"/>
      <c r="C71" s="11"/>
      <c r="D71" s="11"/>
      <c r="E71" s="11"/>
      <c r="F71" s="12">
        <v>0.3</v>
      </c>
      <c r="G71" s="12">
        <v>0</v>
      </c>
      <c r="H71" s="60">
        <f t="shared" si="3"/>
        <v>0</v>
      </c>
      <c r="I71" s="1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 t="s">
        <v>53</v>
      </c>
      <c r="B73" s="1"/>
      <c r="C73" s="1"/>
      <c r="D73" s="1"/>
      <c r="E73" s="1"/>
      <c r="F73" s="2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mergeCells count="14">
    <mergeCell ref="E1:G1"/>
    <mergeCell ref="B65:B68"/>
    <mergeCell ref="B12:B30"/>
    <mergeCell ref="A1:C1"/>
    <mergeCell ref="A2:A4"/>
    <mergeCell ref="A5:A10"/>
    <mergeCell ref="A11:A50"/>
    <mergeCell ref="B6:B10"/>
    <mergeCell ref="A58:A60"/>
    <mergeCell ref="A61:A71"/>
    <mergeCell ref="B53:B56"/>
    <mergeCell ref="B69:B70"/>
    <mergeCell ref="B31:B50"/>
    <mergeCell ref="A51:A57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selection activeCell="H191" sqref="H191"/>
    </sheetView>
  </sheetViews>
  <sheetFormatPr defaultRowHeight="16.5" x14ac:dyDescent="0.3"/>
  <sheetData>
    <row r="1" spans="1:14" x14ac:dyDescent="0.3">
      <c r="A1">
        <f>IF(L$1=업무할당!$I2,업무할당!$H2,0)</f>
        <v>0</v>
      </c>
      <c r="B1">
        <f>IF(M$1=업무할당!$I2,업무할당!$H2,0)</f>
        <v>0</v>
      </c>
      <c r="C1">
        <f>IF(N$1=업무할당!$I2,업무할당!$H2,0)</f>
        <v>0</v>
      </c>
      <c r="L1" t="s">
        <v>95</v>
      </c>
      <c r="M1" t="s">
        <v>101</v>
      </c>
      <c r="N1" t="s">
        <v>98</v>
      </c>
    </row>
    <row r="2" spans="1:14" x14ac:dyDescent="0.3">
      <c r="A2">
        <f>IF(L$1=업무할당!$I3,업무할당!$H3,0)</f>
        <v>0.01</v>
      </c>
      <c r="B2">
        <f>IF(M$1=업무할당!$I3,업무할당!$H3,0)</f>
        <v>0</v>
      </c>
      <c r="C2">
        <f>IF(N$1=업무할당!$I3,업무할당!$H3,0)</f>
        <v>0</v>
      </c>
    </row>
    <row r="3" spans="1:14" x14ac:dyDescent="0.3">
      <c r="A3">
        <f>IF(L$1=업무할당!$I4,업무할당!$H4,0)</f>
        <v>0.01</v>
      </c>
      <c r="B3">
        <f>IF(M$1=업무할당!$I4,업무할당!$H4,0)</f>
        <v>0</v>
      </c>
      <c r="C3">
        <f>IF(N$1=업무할당!$I4,업무할당!$H4,0)</f>
        <v>0</v>
      </c>
    </row>
    <row r="4" spans="1:14" x14ac:dyDescent="0.3">
      <c r="A4">
        <f>IF(L$1=업무할당!$I5,업무할당!$H5,0)</f>
        <v>0</v>
      </c>
      <c r="B4">
        <f>IF(M$1=업무할당!$I5,업무할당!$H5,0)</f>
        <v>0</v>
      </c>
      <c r="C4">
        <f>IF(N$1=업무할당!$I5,업무할당!$H5,0)</f>
        <v>0</v>
      </c>
    </row>
    <row r="5" spans="1:14" x14ac:dyDescent="0.3">
      <c r="A5">
        <f>IF(L$1=업무할당!$I6,업무할당!$H6,0)</f>
        <v>0.22500000000000001</v>
      </c>
      <c r="B5">
        <f>IF(M$1=업무할당!$I6,업무할당!$H6,0)</f>
        <v>0</v>
      </c>
      <c r="C5">
        <f>IF(N$1=업무할당!$I6,업무할당!$H6,0)</f>
        <v>0</v>
      </c>
    </row>
    <row r="6" spans="1:14" x14ac:dyDescent="0.3">
      <c r="A6">
        <f>IF(L$1=업무할당!$I7,업무할당!$H7,0)</f>
        <v>1.2500000000000001E-2</v>
      </c>
      <c r="B6">
        <f>IF(M$1=업무할당!$I7,업무할당!$H7,0)</f>
        <v>0</v>
      </c>
      <c r="C6">
        <f>IF(N$1=업무할당!$I7,업무할당!$H7,0)</f>
        <v>0</v>
      </c>
    </row>
    <row r="7" spans="1:14" x14ac:dyDescent="0.3">
      <c r="A7">
        <f>IF(L$1=업무할당!$I8,업무할당!$H8,0)</f>
        <v>1.2500000000000001E-2</v>
      </c>
      <c r="B7">
        <f>IF(M$1=업무할당!$I8,업무할당!$H8,0)</f>
        <v>0</v>
      </c>
      <c r="C7">
        <f>IF(N$1=업무할당!$I8,업무할당!$H8,0)</f>
        <v>0</v>
      </c>
    </row>
    <row r="8" spans="1:14" x14ac:dyDescent="0.3">
      <c r="A8">
        <f>IF(L$1=업무할당!$I9,업무할당!$H9,0)</f>
        <v>0</v>
      </c>
      <c r="B8">
        <f>IF(M$1=업무할당!$I9,업무할당!$H9,0)</f>
        <v>0</v>
      </c>
      <c r="C8">
        <f>IF(N$1=업무할당!$I9,업무할당!$H9,0)</f>
        <v>0</v>
      </c>
    </row>
    <row r="9" spans="1:14" x14ac:dyDescent="0.3">
      <c r="A9">
        <f>IF(L$1=업무할당!$I10,업무할당!$H10,0)</f>
        <v>0</v>
      </c>
      <c r="B9">
        <f>IF(M$1=업무할당!$I10,업무할당!$H10,0)</f>
        <v>0</v>
      </c>
      <c r="C9">
        <f>IF(N$1=업무할당!$I10,업무할당!$H10,0)</f>
        <v>0</v>
      </c>
    </row>
    <row r="10" spans="1:14" x14ac:dyDescent="0.3">
      <c r="A10">
        <f>IF(L$1=업무할당!$I11,업무할당!$H11,0)</f>
        <v>0</v>
      </c>
      <c r="B10">
        <f>IF(M$1=업무할당!$I11,업무할당!$H11,0)</f>
        <v>0</v>
      </c>
      <c r="C10">
        <f>IF(N$1=업무할당!$I11,업무할당!$H11,0)</f>
        <v>0</v>
      </c>
    </row>
    <row r="11" spans="1:14" x14ac:dyDescent="0.3">
      <c r="A11">
        <f>IF(L$1=업무할당!$I12,업무할당!$H12,0)</f>
        <v>1.6528925619834706E-3</v>
      </c>
      <c r="B11">
        <f>IF(M$1=업무할당!$I12,업무할당!$H12,0)</f>
        <v>0</v>
      </c>
      <c r="C11">
        <f>IF(N$1=업무할당!$I12,업무할당!$H12,0)</f>
        <v>0</v>
      </c>
    </row>
    <row r="12" spans="1:14" x14ac:dyDescent="0.3">
      <c r="A12">
        <f>IF(L$1=업무할당!$I13,업무할당!$H13,0)</f>
        <v>1.6528925619834706E-3</v>
      </c>
      <c r="B12">
        <f>IF(M$1=업무할당!$I13,업무할당!$H13,0)</f>
        <v>0</v>
      </c>
      <c r="C12">
        <f>IF(N$1=업무할당!$I13,업무할당!$H13,0)</f>
        <v>0</v>
      </c>
    </row>
    <row r="13" spans="1:14" x14ac:dyDescent="0.3">
      <c r="A13">
        <f>IF(L$1=업무할당!$I14,업무할당!$H14,0)</f>
        <v>1.6528925619834706E-3</v>
      </c>
      <c r="B13">
        <f>IF(M$1=업무할당!$I14,업무할당!$H14,0)</f>
        <v>0</v>
      </c>
      <c r="C13">
        <f>IF(N$1=업무할당!$I14,업무할당!$H14,0)</f>
        <v>0</v>
      </c>
    </row>
    <row r="14" spans="1:14" x14ac:dyDescent="0.3">
      <c r="A14">
        <f>IF(L$1=업무할당!$I15,업무할당!$H15,0)</f>
        <v>1.6528925619834706E-3</v>
      </c>
      <c r="B14">
        <f>IF(M$1=업무할당!$I15,업무할당!$H15,0)</f>
        <v>0</v>
      </c>
      <c r="C14">
        <f>IF(N$1=업무할당!$I15,업무할당!$H15,0)</f>
        <v>0</v>
      </c>
    </row>
    <row r="15" spans="1:14" x14ac:dyDescent="0.3">
      <c r="A15">
        <f>IF(L$1=업무할당!$I16,업무할당!$H16,0)</f>
        <v>1.6528925619834706E-3</v>
      </c>
      <c r="B15">
        <f>IF(M$1=업무할당!$I16,업무할당!$H16,0)</f>
        <v>0</v>
      </c>
      <c r="C15">
        <f>IF(N$1=업무할당!$I16,업무할당!$H16,0)</f>
        <v>0</v>
      </c>
    </row>
    <row r="16" spans="1:14" x14ac:dyDescent="0.3">
      <c r="A16">
        <f>IF(L$1=업무할당!$I17,업무할당!$H17,0)</f>
        <v>1.6528925619834706E-3</v>
      </c>
      <c r="B16">
        <f>IF(M$1=업무할당!$I17,업무할당!$H17,0)</f>
        <v>0</v>
      </c>
      <c r="C16">
        <f>IF(N$1=업무할당!$I17,업무할당!$H17,0)</f>
        <v>0</v>
      </c>
    </row>
    <row r="17" spans="1:3" x14ac:dyDescent="0.3">
      <c r="A17">
        <f>IF(L$1=업무할당!$I18,업무할당!$H18,0)</f>
        <v>1.6528925619834706E-3</v>
      </c>
      <c r="B17">
        <f>IF(M$1=업무할당!$I18,업무할당!$H18,0)</f>
        <v>0</v>
      </c>
      <c r="C17">
        <f>IF(N$1=업무할당!$I18,업무할당!$H18,0)</f>
        <v>0</v>
      </c>
    </row>
    <row r="18" spans="1:3" x14ac:dyDescent="0.3">
      <c r="A18">
        <f>IF(L$1=업무할당!$I19,업무할당!$H19,0)</f>
        <v>8.2644628099173539E-3</v>
      </c>
      <c r="B18">
        <f>IF(M$1=업무할당!$I19,업무할당!$H19,0)</f>
        <v>0</v>
      </c>
      <c r="C18">
        <f>IF(N$1=업무할당!$I19,업무할당!$H19,0)</f>
        <v>0</v>
      </c>
    </row>
    <row r="19" spans="1:3" x14ac:dyDescent="0.3">
      <c r="A19">
        <f>IF(L$1=업무할당!$I20,업무할당!$H20,0)</f>
        <v>1.6528925619834708E-2</v>
      </c>
      <c r="B19">
        <f>IF(M$1=업무할당!$I20,업무할당!$H20,0)</f>
        <v>0</v>
      </c>
      <c r="C19">
        <f>IF(N$1=업무할당!$I20,업무할당!$H20,0)</f>
        <v>0</v>
      </c>
    </row>
    <row r="20" spans="1:3" x14ac:dyDescent="0.3">
      <c r="A20">
        <f>IF(L$1=업무할당!$I21,업무할당!$H21,0)</f>
        <v>1.6528925619834708E-2</v>
      </c>
      <c r="B20">
        <f>IF(M$1=업무할당!$I21,업무할당!$H21,0)</f>
        <v>0</v>
      </c>
      <c r="C20">
        <f>IF(N$1=업무할당!$I21,업무할당!$H21,0)</f>
        <v>0</v>
      </c>
    </row>
    <row r="21" spans="1:3" x14ac:dyDescent="0.3">
      <c r="A21">
        <f>IF(L$1=업무할당!$I22,업무할당!$H22,0)</f>
        <v>1.6528925619834706E-3</v>
      </c>
      <c r="B21">
        <f>IF(M$1=업무할당!$I22,업무할당!$H22,0)</f>
        <v>0</v>
      </c>
      <c r="C21">
        <f>IF(N$1=업무할당!$I22,업무할당!$H22,0)</f>
        <v>0</v>
      </c>
    </row>
    <row r="22" spans="1:3" x14ac:dyDescent="0.3">
      <c r="A22">
        <f>IF(L$1=업무할당!$I23,업무할당!$H23,0)</f>
        <v>1.6528925619834706E-3</v>
      </c>
      <c r="B22">
        <f>IF(M$1=업무할당!$I23,업무할당!$H23,0)</f>
        <v>0</v>
      </c>
      <c r="C22">
        <f>IF(N$1=업무할당!$I23,업무할당!$H23,0)</f>
        <v>0</v>
      </c>
    </row>
    <row r="23" spans="1:3" x14ac:dyDescent="0.3">
      <c r="A23">
        <f>IF(L$1=업무할당!$I24,업무할당!$H24,0)</f>
        <v>1.6528925619834706E-3</v>
      </c>
      <c r="B23">
        <f>IF(M$1=업무할당!$I24,업무할당!$H24,0)</f>
        <v>0</v>
      </c>
      <c r="C23">
        <f>IF(N$1=업무할당!$I24,업무할당!$H24,0)</f>
        <v>0</v>
      </c>
    </row>
    <row r="24" spans="1:3" x14ac:dyDescent="0.3">
      <c r="A24">
        <f>IF(L$1=업무할당!$I25,업무할당!$H25,0)</f>
        <v>1.6528925619834706E-3</v>
      </c>
      <c r="B24">
        <f>IF(M$1=업무할당!$I25,업무할당!$H25,0)</f>
        <v>0</v>
      </c>
      <c r="C24">
        <f>IF(N$1=업무할당!$I25,업무할당!$H25,0)</f>
        <v>0</v>
      </c>
    </row>
    <row r="25" spans="1:3" x14ac:dyDescent="0.3">
      <c r="A25">
        <f>IF(L$1=업무할당!$I26,업무할당!$H26,0)</f>
        <v>1.6528925619834706E-3</v>
      </c>
      <c r="B25">
        <f>IF(M$1=업무할당!$I26,업무할당!$H26,0)</f>
        <v>0</v>
      </c>
      <c r="C25">
        <f>IF(N$1=업무할당!$I26,업무할당!$H26,0)</f>
        <v>0</v>
      </c>
    </row>
    <row r="26" spans="1:3" x14ac:dyDescent="0.3">
      <c r="A26">
        <f>IF(L$1=업무할당!$I27,업무할당!$H27,0)</f>
        <v>1.6528925619834706E-3</v>
      </c>
      <c r="B26">
        <f>IF(M$1=업무할당!$I27,업무할당!$H27,0)</f>
        <v>0</v>
      </c>
      <c r="C26">
        <f>IF(N$1=업무할당!$I27,업무할당!$H27,0)</f>
        <v>0</v>
      </c>
    </row>
    <row r="27" spans="1:3" x14ac:dyDescent="0.3">
      <c r="A27">
        <f>IF(L$1=업무할당!$I28,업무할당!$H28,0)</f>
        <v>1.6528925619834706E-3</v>
      </c>
      <c r="B27">
        <f>IF(M$1=업무할당!$I28,업무할당!$H28,0)</f>
        <v>0</v>
      </c>
      <c r="C27">
        <f>IF(N$1=업무할당!$I28,업무할당!$H28,0)</f>
        <v>0</v>
      </c>
    </row>
    <row r="28" spans="1:3" x14ac:dyDescent="0.3">
      <c r="A28">
        <f>IF(L$1=업무할당!$I29,업무할당!$H29,0)</f>
        <v>3.3057851239669412E-3</v>
      </c>
      <c r="B28">
        <f>IF(M$1=업무할당!$I29,업무할당!$H29,0)</f>
        <v>0</v>
      </c>
      <c r="C28">
        <f>IF(N$1=업무할당!$I29,업무할당!$H29,0)</f>
        <v>0</v>
      </c>
    </row>
    <row r="29" spans="1:3" x14ac:dyDescent="0.3">
      <c r="A29">
        <f>IF(L$1=업무할당!$I30,업무할당!$H30,0)</f>
        <v>0</v>
      </c>
      <c r="B29">
        <f>IF(M$1=업무할당!$I30,업무할당!$H30,0)</f>
        <v>0</v>
      </c>
      <c r="C29">
        <f>IF(N$1=업무할당!$I30,업무할당!$H30,0)</f>
        <v>0</v>
      </c>
    </row>
    <row r="30" spans="1:3" x14ac:dyDescent="0.3">
      <c r="A30">
        <f>IF(L$1=업무할당!$I31,업무할당!$H31,0)</f>
        <v>0</v>
      </c>
      <c r="B30">
        <f>IF(M$1=업무할당!$I31,업무할당!$H31,0)</f>
        <v>4.9586776859504113E-2</v>
      </c>
      <c r="C30">
        <f>IF(N$1=업무할당!$I31,업무할당!$H31,0)</f>
        <v>0</v>
      </c>
    </row>
    <row r="31" spans="1:3" x14ac:dyDescent="0.3">
      <c r="A31">
        <f>IF(L$1=업무할당!$I32,업무할당!$H32,0)</f>
        <v>1.6528925619834706E-3</v>
      </c>
      <c r="B31">
        <f>IF(M$1=업무할당!$I32,업무할당!$H32,0)</f>
        <v>0</v>
      </c>
      <c r="C31">
        <f>IF(N$1=업무할당!$I32,업무할당!$H32,0)</f>
        <v>0</v>
      </c>
    </row>
    <row r="32" spans="1:3" x14ac:dyDescent="0.3">
      <c r="A32">
        <f>IF(L$1=업무할당!$I33,업무할당!$H33,0)</f>
        <v>1.6528925619834706E-3</v>
      </c>
      <c r="B32">
        <f>IF(M$1=업무할당!$I33,업무할당!$H33,0)</f>
        <v>0</v>
      </c>
      <c r="C32">
        <f>IF(N$1=업무할당!$I33,업무할당!$H33,0)</f>
        <v>0</v>
      </c>
    </row>
    <row r="33" spans="1:3" x14ac:dyDescent="0.3">
      <c r="A33">
        <f>IF(L$1=업무할당!$I34,업무할당!$H34,0)</f>
        <v>1.6528925619834706E-3</v>
      </c>
      <c r="B33">
        <f>IF(M$1=업무할당!$I34,업무할당!$H34,0)</f>
        <v>0</v>
      </c>
      <c r="C33">
        <f>IF(N$1=업무할당!$I34,업무할당!$H34,0)</f>
        <v>0</v>
      </c>
    </row>
    <row r="34" spans="1:3" x14ac:dyDescent="0.3">
      <c r="A34">
        <f>IF(L$1=업무할당!$I35,업무할당!$H35,0)</f>
        <v>1.6528925619834706E-3</v>
      </c>
      <c r="B34">
        <f>IF(M$1=업무할당!$I35,업무할당!$H35,0)</f>
        <v>0</v>
      </c>
      <c r="C34">
        <f>IF(N$1=업무할당!$I35,업무할당!$H35,0)</f>
        <v>0</v>
      </c>
    </row>
    <row r="35" spans="1:3" x14ac:dyDescent="0.3">
      <c r="A35">
        <f>IF(L$1=업무할당!$I36,업무할당!$H36,0)</f>
        <v>1.6528925619834706E-3</v>
      </c>
      <c r="B35">
        <f>IF(M$1=업무할당!$I36,업무할당!$H36,0)</f>
        <v>0</v>
      </c>
      <c r="C35">
        <f>IF(N$1=업무할당!$I36,업무할당!$H36,0)</f>
        <v>0</v>
      </c>
    </row>
    <row r="36" spans="1:3" x14ac:dyDescent="0.3">
      <c r="A36">
        <f>IF(L$1=업무할당!$I37,업무할당!$H37,0)</f>
        <v>1.6528925619834706E-3</v>
      </c>
      <c r="B36">
        <f>IF(M$1=업무할당!$I37,업무할당!$H37,0)</f>
        <v>0</v>
      </c>
      <c r="C36">
        <f>IF(N$1=업무할당!$I37,업무할당!$H37,0)</f>
        <v>0</v>
      </c>
    </row>
    <row r="37" spans="1:3" x14ac:dyDescent="0.3">
      <c r="A37">
        <f>IF(L$1=업무할당!$I38,업무할당!$H38,0)</f>
        <v>1.6528925619834706E-3</v>
      </c>
      <c r="B37">
        <f>IF(M$1=업무할당!$I38,업무할당!$H38,0)</f>
        <v>0</v>
      </c>
      <c r="C37">
        <f>IF(N$1=업무할당!$I38,업무할당!$H38,0)</f>
        <v>0</v>
      </c>
    </row>
    <row r="38" spans="1:3" x14ac:dyDescent="0.3">
      <c r="A38">
        <f>IF(L$1=업무할당!$I39,업무할당!$H39,0)</f>
        <v>1.6528925619834706E-3</v>
      </c>
      <c r="B38">
        <f>IF(M$1=업무할당!$I39,업무할당!$H39,0)</f>
        <v>0</v>
      </c>
      <c r="C38">
        <f>IF(N$1=업무할당!$I39,업무할당!$H39,0)</f>
        <v>0</v>
      </c>
    </row>
    <row r="39" spans="1:3" x14ac:dyDescent="0.3">
      <c r="A39">
        <f>IF(L$1=업무할당!$I40,업무할당!$H40,0)</f>
        <v>8.2644628099173539E-3</v>
      </c>
      <c r="B39">
        <f>IF(M$1=업무할당!$I40,업무할당!$H40,0)</f>
        <v>0</v>
      </c>
      <c r="C39">
        <f>IF(N$1=업무할당!$I40,업무할당!$H40,0)</f>
        <v>0</v>
      </c>
    </row>
    <row r="40" spans="1:3" x14ac:dyDescent="0.3">
      <c r="A40">
        <f>IF(L$1=업무할당!$I41,업무할당!$H41,0)</f>
        <v>1.6528925619834708E-2</v>
      </c>
      <c r="B40">
        <f>IF(M$1=업무할당!$I41,업무할당!$H41,0)</f>
        <v>0</v>
      </c>
      <c r="C40">
        <f>IF(N$1=업무할당!$I41,업무할당!$H41,0)</f>
        <v>0</v>
      </c>
    </row>
    <row r="41" spans="1:3" x14ac:dyDescent="0.3">
      <c r="A41">
        <f>IF(L$1=업무할당!$I42,업무할당!$H42,0)</f>
        <v>1.6528925619834706E-3</v>
      </c>
      <c r="B41">
        <f>IF(M$1=업무할당!$I42,업무할당!$H42,0)</f>
        <v>0</v>
      </c>
      <c r="C41">
        <f>IF(N$1=업무할당!$I42,업무할당!$H42,0)</f>
        <v>0</v>
      </c>
    </row>
    <row r="42" spans="1:3" x14ac:dyDescent="0.3">
      <c r="A42">
        <f>IF(L$1=업무할당!$I43,업무할당!$H43,0)</f>
        <v>1.6528925619834706E-3</v>
      </c>
      <c r="B42">
        <f>IF(M$1=업무할당!$I43,업무할당!$H43,0)</f>
        <v>0</v>
      </c>
      <c r="C42">
        <f>IF(N$1=업무할당!$I43,업무할당!$H43,0)</f>
        <v>0</v>
      </c>
    </row>
    <row r="43" spans="1:3" x14ac:dyDescent="0.3">
      <c r="A43">
        <f>IF(L$1=업무할당!$I44,업무할당!$H44,0)</f>
        <v>1.6528925619834708E-2</v>
      </c>
      <c r="B43">
        <f>IF(M$1=업무할당!$I44,업무할당!$H44,0)</f>
        <v>0</v>
      </c>
      <c r="C43">
        <f>IF(N$1=업무할당!$I44,업무할당!$H44,0)</f>
        <v>0</v>
      </c>
    </row>
    <row r="44" spans="1:3" x14ac:dyDescent="0.3">
      <c r="A44">
        <f>IF(L$1=업무할당!$I45,업무할당!$H45,0)</f>
        <v>1.6528925619834708E-2</v>
      </c>
      <c r="B44">
        <f>IF(M$1=업무할당!$I45,업무할당!$H45,0)</f>
        <v>0</v>
      </c>
      <c r="C44">
        <f>IF(N$1=업무할당!$I45,업무할당!$H45,0)</f>
        <v>0</v>
      </c>
    </row>
    <row r="45" spans="1:3" x14ac:dyDescent="0.3">
      <c r="A45">
        <f>IF(L$1=업무할당!$I46,업무할당!$H46,0)</f>
        <v>8.2644628099173539E-3</v>
      </c>
      <c r="B45">
        <f>IF(M$1=업무할당!$I46,업무할당!$H46,0)</f>
        <v>0</v>
      </c>
      <c r="C45">
        <f>IF(N$1=업무할당!$I46,업무할당!$H46,0)</f>
        <v>0</v>
      </c>
    </row>
    <row r="46" spans="1:3" x14ac:dyDescent="0.3">
      <c r="A46">
        <f>IF(L$1=업무할당!$I47,업무할당!$H47,0)</f>
        <v>0</v>
      </c>
      <c r="B46">
        <f>IF(M$1=업무할당!$I47,업무할당!$H47,0)</f>
        <v>0</v>
      </c>
      <c r="C46">
        <f>IF(N$1=업무할당!$I47,업무할당!$H47,0)</f>
        <v>0</v>
      </c>
    </row>
    <row r="47" spans="1:3" x14ac:dyDescent="0.3">
      <c r="A47">
        <f>IF(L$1=업무할당!$I48,업무할당!$H48,0)</f>
        <v>0</v>
      </c>
      <c r="B47">
        <f>IF(M$1=업무할당!$I48,업무할당!$H48,0)</f>
        <v>0</v>
      </c>
      <c r="C47">
        <f>IF(N$1=업무할당!$I48,업무할당!$H48,0)</f>
        <v>0</v>
      </c>
    </row>
    <row r="48" spans="1:3" x14ac:dyDescent="0.3">
      <c r="A48">
        <f>IF(L$1=업무할당!$I49,업무할당!$H49,0)</f>
        <v>0</v>
      </c>
      <c r="B48">
        <f>IF(M$1=업무할당!$I49,업무할당!$H49,0)</f>
        <v>0</v>
      </c>
      <c r="C48">
        <f>IF(N$1=업무할당!$I49,업무할당!$H49,0)</f>
        <v>0</v>
      </c>
    </row>
    <row r="49" spans="1:3" x14ac:dyDescent="0.3">
      <c r="A49">
        <f>IF(L$1=업무할당!$I50,업무할당!$H50,0)</f>
        <v>0</v>
      </c>
      <c r="B49">
        <f>IF(M$1=업무할당!$I50,업무할당!$H50,0)</f>
        <v>0</v>
      </c>
      <c r="C49">
        <f>IF(N$1=업무할당!$I50,업무할당!$H50,0)</f>
        <v>0</v>
      </c>
    </row>
    <row r="50" spans="1:3" x14ac:dyDescent="0.3">
      <c r="A50">
        <f>IF(L$1=업무할당!$I51,업무할당!$H51,0)</f>
        <v>0</v>
      </c>
      <c r="B50">
        <f>IF(M$1=업무할당!$I51,업무할당!$H51,0)</f>
        <v>0</v>
      </c>
      <c r="C50">
        <f>IF(N$1=업무할당!$I51,업무할당!$H51,0)</f>
        <v>0</v>
      </c>
    </row>
    <row r="51" spans="1:3" x14ac:dyDescent="0.3">
      <c r="A51">
        <f>IF(L$1=업무할당!$I52,업무할당!$H52,0)</f>
        <v>8.0000000000000016E-2</v>
      </c>
      <c r="B51">
        <f>IF(M$1=업무할당!$I52,업무할당!$H52,0)</f>
        <v>0</v>
      </c>
      <c r="C51">
        <f>IF(N$1=업무할당!$I52,업무할당!$H52,0)</f>
        <v>0</v>
      </c>
    </row>
    <row r="52" spans="1:3" x14ac:dyDescent="0.3">
      <c r="A52">
        <f>IF(L$1=업무할당!$I53,업무할당!$H53,0)</f>
        <v>2.0000000000000004E-2</v>
      </c>
      <c r="B52">
        <f>IF(M$1=업무할당!$I53,업무할당!$H53,0)</f>
        <v>0</v>
      </c>
      <c r="C52">
        <f>IF(N$1=업무할당!$I53,업무할당!$H53,0)</f>
        <v>0</v>
      </c>
    </row>
    <row r="53" spans="1:3" x14ac:dyDescent="0.3">
      <c r="A53">
        <f>IF(L$1=업무할당!$I54,업무할당!$H54,0)</f>
        <v>4.0000000000000008E-2</v>
      </c>
      <c r="B53">
        <f>IF(M$1=업무할당!$I54,업무할당!$H54,0)</f>
        <v>0</v>
      </c>
      <c r="C53">
        <f>IF(N$1=업무할당!$I54,업무할당!$H54,0)</f>
        <v>0</v>
      </c>
    </row>
    <row r="54" spans="1:3" x14ac:dyDescent="0.3">
      <c r="A54">
        <f>IF(L$1=업무할당!$I55,업무할당!$H55,0)</f>
        <v>1.0000000000000002E-2</v>
      </c>
      <c r="B54">
        <f>IF(M$1=업무할당!$I55,업무할당!$H55,0)</f>
        <v>0</v>
      </c>
      <c r="C54">
        <f>IF(N$1=업무할당!$I55,업무할당!$H55,0)</f>
        <v>0</v>
      </c>
    </row>
    <row r="55" spans="1:3" x14ac:dyDescent="0.3">
      <c r="A55">
        <f>IF(L$1=업무할당!$I56,업무할당!$H56,0)</f>
        <v>2.0000000000000004E-2</v>
      </c>
      <c r="B55">
        <f>IF(M$1=업무할당!$I56,업무할당!$H56,0)</f>
        <v>0</v>
      </c>
      <c r="C55">
        <f>IF(N$1=업무할당!$I56,업무할당!$H56,0)</f>
        <v>0</v>
      </c>
    </row>
    <row r="56" spans="1:3" x14ac:dyDescent="0.3">
      <c r="A56">
        <f>IF(L$1=업무할당!$I57,업무할당!$H57,0)</f>
        <v>0.03</v>
      </c>
      <c r="B56">
        <f>IF(M$1=업무할당!$I57,업무할당!$H57,0)</f>
        <v>0</v>
      </c>
      <c r="C56">
        <f>IF(N$1=업무할당!$I57,업무할당!$H57,0)</f>
        <v>0</v>
      </c>
    </row>
    <row r="57" spans="1:3" x14ac:dyDescent="0.3">
      <c r="A57">
        <f>IF(L$1=업무할당!$I58,업무할당!$H58,0)</f>
        <v>0</v>
      </c>
      <c r="B57">
        <f>IF(M$1=업무할당!$I58,업무할당!$H58,0)</f>
        <v>0</v>
      </c>
      <c r="C57">
        <f>IF(N$1=업무할당!$I58,업무할당!$H58,0)</f>
        <v>0</v>
      </c>
    </row>
    <row r="58" spans="1:3" x14ac:dyDescent="0.3">
      <c r="A58">
        <f>IF(L$1=업무할당!$I59,업무할당!$H59,0)</f>
        <v>1.4999999999999999E-2</v>
      </c>
      <c r="B58">
        <f>IF(M$1=업무할당!$I59,업무할당!$H59,0)</f>
        <v>0</v>
      </c>
      <c r="C58">
        <f>IF(N$1=업무할당!$I59,업무할당!$H59,0)</f>
        <v>0</v>
      </c>
    </row>
    <row r="59" spans="1:3" x14ac:dyDescent="0.3">
      <c r="A59">
        <f>IF(L$1=업무할당!$I60,업무할당!$H60,0)</f>
        <v>1.4999999999999999E-2</v>
      </c>
      <c r="B59">
        <f>IF(M$1=업무할당!$I60,업무할당!$H60,0)</f>
        <v>0</v>
      </c>
      <c r="C59">
        <f>IF(N$1=업무할당!$I60,업무할당!$H60,0)</f>
        <v>0</v>
      </c>
    </row>
    <row r="60" spans="1:3" x14ac:dyDescent="0.3">
      <c r="A60">
        <f>IF(L$1=업무할당!$I61,업무할당!$H61,0)</f>
        <v>0</v>
      </c>
      <c r="B60">
        <f>IF(M$1=업무할당!$I61,업무할당!$H61,0)</f>
        <v>0</v>
      </c>
      <c r="C60">
        <f>IF(N$1=업무할당!$I61,업무할당!$H61,0)</f>
        <v>0</v>
      </c>
    </row>
    <row r="61" spans="1:3" x14ac:dyDescent="0.3">
      <c r="A61">
        <f>IF(L$1=업무할당!$I62,업무할당!$H62,0)</f>
        <v>4.2452830188679243E-2</v>
      </c>
      <c r="B61">
        <f>IF(M$1=업무할당!$I62,업무할당!$H62,0)</f>
        <v>0</v>
      </c>
      <c r="C61">
        <f>IF(N$1=업무할당!$I62,업무할당!$H62,0)</f>
        <v>0</v>
      </c>
    </row>
    <row r="62" spans="1:3" x14ac:dyDescent="0.3">
      <c r="A62">
        <f>IF(L$1=업무할당!$I63,업무할당!$H63,0)</f>
        <v>2.8301886792452827E-2</v>
      </c>
      <c r="B62">
        <f>IF(M$1=업무할당!$I63,업무할당!$H63,0)</f>
        <v>0</v>
      </c>
      <c r="C62">
        <f>IF(N$1=업무할당!$I63,업무할당!$H63,0)</f>
        <v>0</v>
      </c>
    </row>
    <row r="63" spans="1:3" x14ac:dyDescent="0.3">
      <c r="A63">
        <f>IF(L$1=업무할당!$I64,업무할당!$H64,0)</f>
        <v>2.8301886792452827E-2</v>
      </c>
      <c r="B63">
        <f>IF(M$1=업무할당!$I64,업무할당!$H64,0)</f>
        <v>0</v>
      </c>
      <c r="C63">
        <f>IF(N$1=업무할당!$I64,업무할당!$H64,0)</f>
        <v>0</v>
      </c>
    </row>
    <row r="64" spans="1:3" x14ac:dyDescent="0.3">
      <c r="A64">
        <f>IF(L$1=업무할당!$I65,업무할당!$H65,0)</f>
        <v>0</v>
      </c>
      <c r="B64">
        <f>IF(M$1=업무할당!$I65,업무할당!$H65,0)</f>
        <v>0</v>
      </c>
      <c r="C64">
        <f>IF(N$1=업무할당!$I65,업무할당!$H65,0)</f>
        <v>4.2452830188679243E-2</v>
      </c>
    </row>
    <row r="65" spans="1:3" x14ac:dyDescent="0.3">
      <c r="A65">
        <f>IF(L$1=업무할당!$I66,업무할당!$H66,0)</f>
        <v>8.4905660377358486E-2</v>
      </c>
      <c r="B65">
        <f>IF(M$1=업무할당!$I66,업무할당!$H66,0)</f>
        <v>0</v>
      </c>
      <c r="C65">
        <f>IF(N$1=업무할당!$I66,업무할당!$H66,0)</f>
        <v>0</v>
      </c>
    </row>
    <row r="66" spans="1:3" x14ac:dyDescent="0.3">
      <c r="A66">
        <f>IF(L$1=업무할당!$I67,업무할당!$H67,0)</f>
        <v>0</v>
      </c>
      <c r="B66">
        <f>IF(M$1=업무할당!$I67,업무할당!$H67,0)</f>
        <v>0</v>
      </c>
      <c r="C66">
        <f>IF(N$1=업무할당!$I67,업무할당!$H67,0)</f>
        <v>5.6603773584905655E-2</v>
      </c>
    </row>
    <row r="67" spans="1:3" x14ac:dyDescent="0.3">
      <c r="A67">
        <f>IF(L$1=업무할당!$I68,업무할당!$H68,0)</f>
        <v>0</v>
      </c>
      <c r="B67">
        <f>IF(M$1=업무할당!$I68,업무할당!$H68,0)</f>
        <v>0</v>
      </c>
      <c r="C67">
        <f>IF(N$1=업무할당!$I68,업무할당!$H68,0)</f>
        <v>0</v>
      </c>
    </row>
    <row r="68" spans="1:3" x14ac:dyDescent="0.3">
      <c r="A68">
        <f>IF(L$1=업무할당!$I69,업무할당!$H69,0)</f>
        <v>8.4905660377358472E-3</v>
      </c>
      <c r="B68">
        <f>IF(M$1=업무할당!$I69,업무할당!$H69,0)</f>
        <v>0</v>
      </c>
      <c r="C68">
        <f>IF(N$1=업무할당!$I69,업무할당!$H69,0)</f>
        <v>0</v>
      </c>
    </row>
    <row r="69" spans="1:3" x14ac:dyDescent="0.3">
      <c r="A69">
        <f>IF(L$1=업무할당!$I70,업무할당!$H70,0)</f>
        <v>8.4905660377358472E-3</v>
      </c>
      <c r="B69">
        <f>IF(M$1=업무할당!$I70,업무할당!$H70,0)</f>
        <v>0</v>
      </c>
      <c r="C69">
        <f>IF(N$1=업무할당!$I70,업무할당!$H70,0)</f>
        <v>0</v>
      </c>
    </row>
    <row r="70" spans="1:3" x14ac:dyDescent="0.3">
      <c r="A70">
        <f>IF(L$1=업무할당!$I71,업무할당!$H71,0)</f>
        <v>0</v>
      </c>
      <c r="B70">
        <f>IF(M$1=업무할당!$I71,업무할당!$H71,0)</f>
        <v>0</v>
      </c>
      <c r="C70">
        <f>IF(N$1=업무할당!$I71,업무할당!$H71,0)</f>
        <v>0</v>
      </c>
    </row>
    <row r="71" spans="1:3" x14ac:dyDescent="0.3">
      <c r="A71">
        <f>IF(L$1=업무할당!$I72,업무할당!$H72,0)</f>
        <v>0</v>
      </c>
      <c r="B71">
        <f>IF(M$1=업무할당!$I72,업무할당!$H72,0)</f>
        <v>0</v>
      </c>
      <c r="C71">
        <f>IF(N$1=업무할당!$I72,업무할당!$H72,0)</f>
        <v>0</v>
      </c>
    </row>
    <row r="72" spans="1:3" x14ac:dyDescent="0.3">
      <c r="A72">
        <f>IF(L$1=업무할당!$I73,업무할당!$H73,0)</f>
        <v>0</v>
      </c>
      <c r="B72">
        <f>IF(M$1=업무할당!$I73,업무할당!$H73,0)</f>
        <v>0</v>
      </c>
      <c r="C72">
        <f>IF(N$1=업무할당!$I73,업무할당!$H73,0)</f>
        <v>0</v>
      </c>
    </row>
    <row r="73" spans="1:3" x14ac:dyDescent="0.3">
      <c r="A73">
        <f>IF(L$1=업무할당!$I74,업무할당!$H74,0)</f>
        <v>0</v>
      </c>
      <c r="B73">
        <f>IF(M$1=업무할당!$I74,업무할당!$H74,0)</f>
        <v>0</v>
      </c>
      <c r="C73">
        <f>IF(N$1=업무할당!$I74,업무할당!$H74,0)</f>
        <v>0</v>
      </c>
    </row>
    <row r="74" spans="1:3" x14ac:dyDescent="0.3">
      <c r="A74">
        <f>IF(L$1=업무할당!$I75,업무할당!$H75,0)</f>
        <v>0</v>
      </c>
      <c r="B74">
        <f>IF(M$1=업무할당!$I75,업무할당!$H75,0)</f>
        <v>0</v>
      </c>
      <c r="C74">
        <f>IF(N$1=업무할당!$I75,업무할당!$H75,0)</f>
        <v>0</v>
      </c>
    </row>
    <row r="75" spans="1:3" x14ac:dyDescent="0.3">
      <c r="A75">
        <f>IF(L$1=업무할당!$I76,업무할당!$H76,0)</f>
        <v>0</v>
      </c>
      <c r="B75">
        <f>IF(M$1=업무할당!$I76,업무할당!$H76,0)</f>
        <v>0</v>
      </c>
      <c r="C75">
        <f>IF(N$1=업무할당!$I76,업무할당!$H76,0)</f>
        <v>0</v>
      </c>
    </row>
    <row r="76" spans="1:3" x14ac:dyDescent="0.3">
      <c r="A76">
        <f>IF(L$1=업무할당!$I77,업무할당!$H77,0)</f>
        <v>0</v>
      </c>
      <c r="B76">
        <f>IF(M$1=업무할당!$I77,업무할당!$H77,0)</f>
        <v>0</v>
      </c>
      <c r="C76">
        <f>IF(N$1=업무할당!$I77,업무할당!$H77,0)</f>
        <v>0</v>
      </c>
    </row>
    <row r="77" spans="1:3" x14ac:dyDescent="0.3">
      <c r="A77">
        <f>IF(L$1=업무할당!$I78,업무할당!$H78,0)</f>
        <v>0</v>
      </c>
      <c r="B77">
        <f>IF(M$1=업무할당!$I78,업무할당!$H78,0)</f>
        <v>0</v>
      </c>
      <c r="C77">
        <f>IF(N$1=업무할당!$I78,업무할당!$H78,0)</f>
        <v>0</v>
      </c>
    </row>
    <row r="78" spans="1:3" x14ac:dyDescent="0.3">
      <c r="A78">
        <f>IF(L$1=업무할당!$I79,업무할당!$H79,0)</f>
        <v>0</v>
      </c>
      <c r="B78">
        <f>IF(M$1=업무할당!$I79,업무할당!$H79,0)</f>
        <v>0</v>
      </c>
      <c r="C78">
        <f>IF(N$1=업무할당!$I79,업무할당!$H79,0)</f>
        <v>0</v>
      </c>
    </row>
    <row r="79" spans="1:3" x14ac:dyDescent="0.3">
      <c r="A79">
        <f>IF(L$1=업무할당!$I80,업무할당!$H80,0)</f>
        <v>0</v>
      </c>
      <c r="B79">
        <f>IF(M$1=업무할당!$I80,업무할당!$H80,0)</f>
        <v>0</v>
      </c>
      <c r="C79">
        <f>IF(N$1=업무할당!$I80,업무할당!$H80,0)</f>
        <v>0</v>
      </c>
    </row>
    <row r="80" spans="1:3" x14ac:dyDescent="0.3">
      <c r="A80">
        <f>IF(L$1=업무할당!$I81,업무할당!$H81,0)</f>
        <v>0</v>
      </c>
      <c r="B80">
        <f>IF(M$1=업무할당!$I81,업무할당!$H81,0)</f>
        <v>0</v>
      </c>
      <c r="C80">
        <f>IF(N$1=업무할당!$I81,업무할당!$H81,0)</f>
        <v>0</v>
      </c>
    </row>
    <row r="81" spans="1:3" x14ac:dyDescent="0.3">
      <c r="A81">
        <f>IF(L$1=업무할당!$I82,업무할당!$H82,0)</f>
        <v>0</v>
      </c>
      <c r="B81">
        <f>IF(M$1=업무할당!$I82,업무할당!$H82,0)</f>
        <v>0</v>
      </c>
      <c r="C81">
        <f>IF(N$1=업무할당!$I82,업무할당!$H82,0)</f>
        <v>0</v>
      </c>
    </row>
    <row r="82" spans="1:3" x14ac:dyDescent="0.3">
      <c r="A82">
        <f>IF(L$1=업무할당!$I83,업무할당!$H83,0)</f>
        <v>0</v>
      </c>
      <c r="B82">
        <f>IF(M$1=업무할당!$I83,업무할당!$H83,0)</f>
        <v>0</v>
      </c>
      <c r="C82">
        <f>IF(N$1=업무할당!$I83,업무할당!$H83,0)</f>
        <v>0</v>
      </c>
    </row>
    <row r="83" spans="1:3" x14ac:dyDescent="0.3">
      <c r="A83">
        <f>IF(L$1=업무할당!$I84,업무할당!$H84,0)</f>
        <v>0</v>
      </c>
      <c r="B83">
        <f>IF(M$1=업무할당!$I84,업무할당!$H84,0)</f>
        <v>0</v>
      </c>
      <c r="C83">
        <f>IF(N$1=업무할당!$I84,업무할당!$H84,0)</f>
        <v>0</v>
      </c>
    </row>
    <row r="84" spans="1:3" x14ac:dyDescent="0.3">
      <c r="A84">
        <f>IF(L$1=업무할당!$I85,업무할당!$H85,0)</f>
        <v>0</v>
      </c>
      <c r="B84">
        <f>IF(M$1=업무할당!$I85,업무할당!$H85,0)</f>
        <v>0</v>
      </c>
      <c r="C84">
        <f>IF(N$1=업무할당!$I85,업무할당!$H85,0)</f>
        <v>0</v>
      </c>
    </row>
    <row r="85" spans="1:3" x14ac:dyDescent="0.3">
      <c r="A85">
        <f>IF(L$1=업무할당!$I86,업무할당!$H86,0)</f>
        <v>0</v>
      </c>
      <c r="B85">
        <f>IF(M$1=업무할당!$I86,업무할당!$H86,0)</f>
        <v>0</v>
      </c>
      <c r="C85">
        <f>IF(N$1=업무할당!$I86,업무할당!$H86,0)</f>
        <v>0</v>
      </c>
    </row>
    <row r="86" spans="1:3" x14ac:dyDescent="0.3">
      <c r="A86">
        <f>IF(L$1=업무할당!$I87,업무할당!$H87,0)</f>
        <v>0</v>
      </c>
      <c r="B86">
        <f>IF(M$1=업무할당!$I87,업무할당!$H87,0)</f>
        <v>0</v>
      </c>
      <c r="C86">
        <f>IF(N$1=업무할당!$I87,업무할당!$H87,0)</f>
        <v>0</v>
      </c>
    </row>
    <row r="87" spans="1:3" x14ac:dyDescent="0.3">
      <c r="A87">
        <f>IF(L$1=업무할당!$I88,업무할당!$H88,0)</f>
        <v>0</v>
      </c>
      <c r="B87">
        <f>IF(M$1=업무할당!$I88,업무할당!$H88,0)</f>
        <v>0</v>
      </c>
      <c r="C87">
        <f>IF(N$1=업무할당!$I88,업무할당!$H88,0)</f>
        <v>0</v>
      </c>
    </row>
    <row r="88" spans="1:3" x14ac:dyDescent="0.3">
      <c r="A88">
        <f>IF(L$1=업무할당!$I89,업무할당!$H89,0)</f>
        <v>0</v>
      </c>
      <c r="B88">
        <f>IF(M$1=업무할당!$I89,업무할당!$H89,0)</f>
        <v>0</v>
      </c>
      <c r="C88">
        <f>IF(N$1=업무할당!$I89,업무할당!$H89,0)</f>
        <v>0</v>
      </c>
    </row>
    <row r="89" spans="1:3" x14ac:dyDescent="0.3">
      <c r="A89">
        <f>IF(L$1=업무할당!$I90,업무할당!$H90,0)</f>
        <v>0</v>
      </c>
      <c r="B89">
        <f>IF(M$1=업무할당!$I90,업무할당!$H90,0)</f>
        <v>0</v>
      </c>
      <c r="C89">
        <f>IF(N$1=업무할당!$I90,업무할당!$H90,0)</f>
        <v>0</v>
      </c>
    </row>
    <row r="90" spans="1:3" x14ac:dyDescent="0.3">
      <c r="A90">
        <f>IF(L$1=업무할당!$I91,업무할당!$H91,0)</f>
        <v>0</v>
      </c>
      <c r="B90">
        <f>IF(M$1=업무할당!$I91,업무할당!$H91,0)</f>
        <v>0</v>
      </c>
      <c r="C90">
        <f>IF(N$1=업무할당!$I91,업무할당!$H91,0)</f>
        <v>0</v>
      </c>
    </row>
    <row r="91" spans="1:3" x14ac:dyDescent="0.3">
      <c r="A91">
        <f>IF(L$1=업무할당!$I92,업무할당!$H92,0)</f>
        <v>0</v>
      </c>
      <c r="B91">
        <f>IF(M$1=업무할당!$I92,업무할당!$H92,0)</f>
        <v>0</v>
      </c>
      <c r="C91">
        <f>IF(N$1=업무할당!$I92,업무할당!$H92,0)</f>
        <v>0</v>
      </c>
    </row>
    <row r="92" spans="1:3" x14ac:dyDescent="0.3">
      <c r="A92">
        <f>IF(L$1=업무할당!$I93,업무할당!$H93,0)</f>
        <v>0</v>
      </c>
      <c r="B92">
        <f>IF(M$1=업무할당!$I93,업무할당!$H93,0)</f>
        <v>0</v>
      </c>
      <c r="C92">
        <f>IF(N$1=업무할당!$I93,업무할당!$H93,0)</f>
        <v>0</v>
      </c>
    </row>
    <row r="93" spans="1:3" x14ac:dyDescent="0.3">
      <c r="A93">
        <f>IF(L$1=업무할당!$I94,업무할당!$H94,0)</f>
        <v>0</v>
      </c>
      <c r="B93">
        <f>IF(M$1=업무할당!$I94,업무할당!$H94,0)</f>
        <v>0</v>
      </c>
      <c r="C93">
        <f>IF(N$1=업무할당!$I94,업무할당!$H94,0)</f>
        <v>0</v>
      </c>
    </row>
    <row r="94" spans="1:3" x14ac:dyDescent="0.3">
      <c r="A94">
        <f>IF(L$1=업무할당!$I95,업무할당!$H95,0)</f>
        <v>0</v>
      </c>
      <c r="B94">
        <f>IF(M$1=업무할당!$I95,업무할당!$H95,0)</f>
        <v>0</v>
      </c>
      <c r="C94">
        <f>IF(N$1=업무할당!$I95,업무할당!$H95,0)</f>
        <v>0</v>
      </c>
    </row>
    <row r="95" spans="1:3" x14ac:dyDescent="0.3">
      <c r="A95">
        <f>IF(L$1=업무할당!$I96,업무할당!$H96,0)</f>
        <v>0</v>
      </c>
      <c r="B95">
        <f>IF(M$1=업무할당!$I96,업무할당!$H96,0)</f>
        <v>0</v>
      </c>
      <c r="C95">
        <f>IF(N$1=업무할당!$I96,업무할당!$H96,0)</f>
        <v>0</v>
      </c>
    </row>
    <row r="96" spans="1:3" x14ac:dyDescent="0.3">
      <c r="A96">
        <f>IF(L$1=업무할당!$I97,업무할당!$H97,0)</f>
        <v>0</v>
      </c>
      <c r="B96">
        <f>IF(M$1=업무할당!$I97,업무할당!$H97,0)</f>
        <v>0</v>
      </c>
      <c r="C96">
        <f>IF(N$1=업무할당!$I97,업무할당!$H97,0)</f>
        <v>0</v>
      </c>
    </row>
    <row r="97" spans="1:3" x14ac:dyDescent="0.3">
      <c r="A97">
        <f>IF(L$1=업무할당!$I98,업무할당!$H98,0)</f>
        <v>0</v>
      </c>
      <c r="B97">
        <f>IF(M$1=업무할당!$I98,업무할당!$H98,0)</f>
        <v>0</v>
      </c>
      <c r="C97">
        <f>IF(N$1=업무할당!$I98,업무할당!$H98,0)</f>
        <v>0</v>
      </c>
    </row>
    <row r="98" spans="1:3" x14ac:dyDescent="0.3">
      <c r="A98">
        <f>IF(L$1=업무할당!$I99,업무할당!$H99,0)</f>
        <v>0</v>
      </c>
      <c r="B98">
        <f>IF(M$1=업무할당!$I99,업무할당!$H99,0)</f>
        <v>0</v>
      </c>
      <c r="C98">
        <f>IF(N$1=업무할당!$I99,업무할당!$H99,0)</f>
        <v>0</v>
      </c>
    </row>
    <row r="99" spans="1:3" x14ac:dyDescent="0.3">
      <c r="A99">
        <f>IF(L$1=업무할당!$I100,업무할당!$H100,0)</f>
        <v>0</v>
      </c>
      <c r="B99">
        <f>IF(M$1=업무할당!$I100,업무할당!$H100,0)</f>
        <v>0</v>
      </c>
      <c r="C99">
        <f>IF(N$1=업무할당!$I100,업무할당!$H100,0)</f>
        <v>0</v>
      </c>
    </row>
    <row r="100" spans="1:3" x14ac:dyDescent="0.3">
      <c r="A100">
        <f>IF(L$1=업무할당!$I101,업무할당!$H101,0)</f>
        <v>0</v>
      </c>
      <c r="B100">
        <f>IF(M$1=업무할당!$I101,업무할당!$H101,0)</f>
        <v>0</v>
      </c>
      <c r="C100">
        <f>IF(N$1=업무할당!$I101,업무할당!$H101,0)</f>
        <v>0</v>
      </c>
    </row>
    <row r="101" spans="1:3" x14ac:dyDescent="0.3">
      <c r="A101">
        <f>IF(L$1=업무할당!$I102,업무할당!$H102,0)</f>
        <v>0</v>
      </c>
      <c r="B101">
        <f>IF(M$1=업무할당!$I102,업무할당!$H102,0)</f>
        <v>0</v>
      </c>
      <c r="C101">
        <f>IF(N$1=업무할당!$I102,업무할당!$H102,0)</f>
        <v>0</v>
      </c>
    </row>
    <row r="102" spans="1:3" x14ac:dyDescent="0.3">
      <c r="A102">
        <f>IF(L$1=업무할당!$I103,업무할당!$H103,0)</f>
        <v>0</v>
      </c>
      <c r="B102">
        <f>IF(M$1=업무할당!$I103,업무할당!$H103,0)</f>
        <v>0</v>
      </c>
      <c r="C102">
        <f>IF(N$1=업무할당!$I103,업무할당!$H103,0)</f>
        <v>0</v>
      </c>
    </row>
    <row r="103" spans="1:3" x14ac:dyDescent="0.3">
      <c r="A103">
        <f>IF(L$1=업무할당!$I104,업무할당!$H104,0)</f>
        <v>0</v>
      </c>
      <c r="B103">
        <f>IF(M$1=업무할당!$I104,업무할당!$H104,0)</f>
        <v>0</v>
      </c>
      <c r="C103">
        <f>IF(N$1=업무할당!$I104,업무할당!$H104,0)</f>
        <v>0</v>
      </c>
    </row>
    <row r="104" spans="1:3" x14ac:dyDescent="0.3">
      <c r="A104">
        <f>IF(L$1=업무할당!$I105,업무할당!$H105,0)</f>
        <v>0</v>
      </c>
      <c r="B104">
        <f>IF(M$1=업무할당!$I105,업무할당!$H105,0)</f>
        <v>0</v>
      </c>
      <c r="C104">
        <f>IF(N$1=업무할당!$I105,업무할당!$H105,0)</f>
        <v>0</v>
      </c>
    </row>
    <row r="105" spans="1:3" x14ac:dyDescent="0.3">
      <c r="A105">
        <f>IF(L$1=업무할당!$I106,업무할당!$H106,0)</f>
        <v>0</v>
      </c>
      <c r="B105">
        <f>IF(M$1=업무할당!$I106,업무할당!$H106,0)</f>
        <v>0</v>
      </c>
      <c r="C105">
        <f>IF(N$1=업무할당!$I106,업무할당!$H106,0)</f>
        <v>0</v>
      </c>
    </row>
    <row r="106" spans="1:3" x14ac:dyDescent="0.3">
      <c r="A106">
        <f>IF(L$1=업무할당!$I107,업무할당!$H107,0)</f>
        <v>0</v>
      </c>
      <c r="B106">
        <f>IF(M$1=업무할당!$I107,업무할당!$H107,0)</f>
        <v>0</v>
      </c>
      <c r="C106">
        <f>IF(N$1=업무할당!$I107,업무할당!$H107,0)</f>
        <v>0</v>
      </c>
    </row>
    <row r="107" spans="1:3" x14ac:dyDescent="0.3">
      <c r="A107">
        <f>IF(L$1=업무할당!$I108,업무할당!$H108,0)</f>
        <v>0</v>
      </c>
      <c r="B107">
        <f>IF(M$1=업무할당!$I108,업무할당!$H108,0)</f>
        <v>0</v>
      </c>
      <c r="C107">
        <f>IF(N$1=업무할당!$I108,업무할당!$H108,0)</f>
        <v>0</v>
      </c>
    </row>
    <row r="108" spans="1:3" x14ac:dyDescent="0.3">
      <c r="A108">
        <f>IF(L$1=업무할당!$I109,업무할당!$H109,0)</f>
        <v>0</v>
      </c>
      <c r="B108">
        <f>IF(M$1=업무할당!$I109,업무할당!$H109,0)</f>
        <v>0</v>
      </c>
      <c r="C108">
        <f>IF(N$1=업무할당!$I109,업무할당!$H109,0)</f>
        <v>0</v>
      </c>
    </row>
    <row r="109" spans="1:3" x14ac:dyDescent="0.3">
      <c r="A109">
        <f>IF(L$1=업무할당!$I110,업무할당!$H110,0)</f>
        <v>0</v>
      </c>
      <c r="B109">
        <f>IF(M$1=업무할당!$I110,업무할당!$H110,0)</f>
        <v>0</v>
      </c>
      <c r="C109">
        <f>IF(N$1=업무할당!$I110,업무할당!$H110,0)</f>
        <v>0</v>
      </c>
    </row>
    <row r="110" spans="1:3" x14ac:dyDescent="0.3">
      <c r="A110">
        <f>IF(L$1=업무할당!$I111,업무할당!$H111,0)</f>
        <v>0</v>
      </c>
      <c r="B110">
        <f>IF(M$1=업무할당!$I111,업무할당!$H111,0)</f>
        <v>0</v>
      </c>
      <c r="C110">
        <f>IF(N$1=업무할당!$I111,업무할당!$H111,0)</f>
        <v>0</v>
      </c>
    </row>
    <row r="111" spans="1:3" x14ac:dyDescent="0.3">
      <c r="A111">
        <f>IF(L$1=업무할당!$I112,업무할당!$H112,0)</f>
        <v>0</v>
      </c>
      <c r="B111">
        <f>IF(M$1=업무할당!$I112,업무할당!$H112,0)</f>
        <v>0</v>
      </c>
      <c r="C111">
        <f>IF(N$1=업무할당!$I112,업무할당!$H112,0)</f>
        <v>0</v>
      </c>
    </row>
    <row r="112" spans="1:3" x14ac:dyDescent="0.3">
      <c r="A112">
        <f>IF(L$1=업무할당!$I113,업무할당!$H113,0)</f>
        <v>0</v>
      </c>
      <c r="B112">
        <f>IF(M$1=업무할당!$I113,업무할당!$H113,0)</f>
        <v>0</v>
      </c>
      <c r="C112">
        <f>IF(N$1=업무할당!$I113,업무할당!$H113,0)</f>
        <v>0</v>
      </c>
    </row>
    <row r="113" spans="1:3" x14ac:dyDescent="0.3">
      <c r="A113">
        <f>IF(L$1=업무할당!$I114,업무할당!$H114,0)</f>
        <v>0</v>
      </c>
      <c r="B113">
        <f>IF(M$1=업무할당!$I114,업무할당!$H114,0)</f>
        <v>0</v>
      </c>
      <c r="C113">
        <f>IF(N$1=업무할당!$I114,업무할당!$H114,0)</f>
        <v>0</v>
      </c>
    </row>
    <row r="114" spans="1:3" x14ac:dyDescent="0.3">
      <c r="A114">
        <f>IF(L$1=업무할당!$I115,업무할당!$H115,0)</f>
        <v>0</v>
      </c>
      <c r="B114">
        <f>IF(M$1=업무할당!$I115,업무할당!$H115,0)</f>
        <v>0</v>
      </c>
      <c r="C114">
        <f>IF(N$1=업무할당!$I115,업무할당!$H115,0)</f>
        <v>0</v>
      </c>
    </row>
    <row r="115" spans="1:3" x14ac:dyDescent="0.3">
      <c r="A115">
        <f>IF(L$1=업무할당!$I116,업무할당!$H116,0)</f>
        <v>0</v>
      </c>
      <c r="B115">
        <f>IF(M$1=업무할당!$I116,업무할당!$H116,0)</f>
        <v>0</v>
      </c>
      <c r="C115">
        <f>IF(N$1=업무할당!$I116,업무할당!$H116,0)</f>
        <v>0</v>
      </c>
    </row>
    <row r="116" spans="1:3" x14ac:dyDescent="0.3">
      <c r="A116">
        <f>IF(L$1=업무할당!$I117,업무할당!$H117,0)</f>
        <v>0</v>
      </c>
      <c r="B116">
        <f>IF(M$1=업무할당!$I117,업무할당!$H117,0)</f>
        <v>0</v>
      </c>
      <c r="C116">
        <f>IF(N$1=업무할당!$I117,업무할당!$H117,0)</f>
        <v>0</v>
      </c>
    </row>
    <row r="117" spans="1:3" x14ac:dyDescent="0.3">
      <c r="A117">
        <f>IF(L$1=업무할당!$I118,업무할당!$H118,0)</f>
        <v>0</v>
      </c>
      <c r="B117">
        <f>IF(M$1=업무할당!$I118,업무할당!$H118,0)</f>
        <v>0</v>
      </c>
      <c r="C117">
        <f>IF(N$1=업무할당!$I118,업무할당!$H118,0)</f>
        <v>0</v>
      </c>
    </row>
    <row r="118" spans="1:3" x14ac:dyDescent="0.3">
      <c r="A118">
        <f>IF(L$1=업무할당!$I119,업무할당!$H119,0)</f>
        <v>0</v>
      </c>
      <c r="B118">
        <f>IF(M$1=업무할당!$I119,업무할당!$H119,0)</f>
        <v>0</v>
      </c>
      <c r="C118">
        <f>IF(N$1=업무할당!$I119,업무할당!$H119,0)</f>
        <v>0</v>
      </c>
    </row>
    <row r="119" spans="1:3" x14ac:dyDescent="0.3">
      <c r="A119">
        <f>IF(L$1=업무할당!$I120,업무할당!$H120,0)</f>
        <v>0</v>
      </c>
      <c r="B119">
        <f>IF(M$1=업무할당!$I120,업무할당!$H120,0)</f>
        <v>0</v>
      </c>
      <c r="C119">
        <f>IF(N$1=업무할당!$I120,업무할당!$H120,0)</f>
        <v>0</v>
      </c>
    </row>
    <row r="120" spans="1:3" x14ac:dyDescent="0.3">
      <c r="A120">
        <f>IF(L$1=업무할당!$I121,업무할당!$H121,0)</f>
        <v>0</v>
      </c>
      <c r="B120">
        <f>IF(M$1=업무할당!$I121,업무할당!$H121,0)</f>
        <v>0</v>
      </c>
      <c r="C120">
        <f>IF(N$1=업무할당!$I121,업무할당!$H121,0)</f>
        <v>0</v>
      </c>
    </row>
    <row r="121" spans="1:3" x14ac:dyDescent="0.3">
      <c r="A121">
        <f>IF(L$1=업무할당!$I122,업무할당!$H122,0)</f>
        <v>0</v>
      </c>
      <c r="B121">
        <f>IF(M$1=업무할당!$I122,업무할당!$H122,0)</f>
        <v>0</v>
      </c>
      <c r="C121">
        <f>IF(N$1=업무할당!$I122,업무할당!$H122,0)</f>
        <v>0</v>
      </c>
    </row>
    <row r="122" spans="1:3" x14ac:dyDescent="0.3">
      <c r="A122">
        <f>IF(L$1=업무할당!$I123,업무할당!$H123,0)</f>
        <v>0</v>
      </c>
      <c r="B122">
        <f>IF(M$1=업무할당!$I123,업무할당!$H123,0)</f>
        <v>0</v>
      </c>
      <c r="C122">
        <f>IF(N$1=업무할당!$I123,업무할당!$H123,0)</f>
        <v>0</v>
      </c>
    </row>
    <row r="123" spans="1:3" x14ac:dyDescent="0.3">
      <c r="A123">
        <f>IF(L$1=업무할당!$I124,업무할당!$H124,0)</f>
        <v>0</v>
      </c>
      <c r="B123">
        <f>IF(M$1=업무할당!$I124,업무할당!$H124,0)</f>
        <v>0</v>
      </c>
      <c r="C123">
        <f>IF(N$1=업무할당!$I124,업무할당!$H124,0)</f>
        <v>0</v>
      </c>
    </row>
    <row r="124" spans="1:3" x14ac:dyDescent="0.3">
      <c r="A124">
        <f>IF(L$1=업무할당!$I125,업무할당!$H125,0)</f>
        <v>0</v>
      </c>
      <c r="B124">
        <f>IF(M$1=업무할당!$I125,업무할당!$H125,0)</f>
        <v>0</v>
      </c>
      <c r="C124">
        <f>IF(N$1=업무할당!$I125,업무할당!$H125,0)</f>
        <v>0</v>
      </c>
    </row>
    <row r="125" spans="1:3" x14ac:dyDescent="0.3">
      <c r="A125">
        <f>IF(L$1=업무할당!$I126,업무할당!$H126,0)</f>
        <v>0</v>
      </c>
      <c r="B125">
        <f>IF(M$1=업무할당!$I126,업무할당!$H126,0)</f>
        <v>0</v>
      </c>
      <c r="C125">
        <f>IF(N$1=업무할당!$I126,업무할당!$H126,0)</f>
        <v>0</v>
      </c>
    </row>
    <row r="126" spans="1:3" x14ac:dyDescent="0.3">
      <c r="A126">
        <f>IF(L$1=업무할당!$I127,업무할당!$H127,0)</f>
        <v>0</v>
      </c>
      <c r="B126">
        <f>IF(M$1=업무할당!$I127,업무할당!$H127,0)</f>
        <v>0</v>
      </c>
      <c r="C126">
        <f>IF(N$1=업무할당!$I127,업무할당!$H127,0)</f>
        <v>0</v>
      </c>
    </row>
    <row r="127" spans="1:3" x14ac:dyDescent="0.3">
      <c r="A127">
        <f>IF(L$1=업무할당!$I128,업무할당!$H128,0)</f>
        <v>0</v>
      </c>
      <c r="B127">
        <f>IF(M$1=업무할당!$I128,업무할당!$H128,0)</f>
        <v>0</v>
      </c>
      <c r="C127">
        <f>IF(N$1=업무할당!$I128,업무할당!$H128,0)</f>
        <v>0</v>
      </c>
    </row>
    <row r="128" spans="1:3" x14ac:dyDescent="0.3">
      <c r="A128">
        <f>IF(L$1=업무할당!$I129,업무할당!$H129,0)</f>
        <v>0</v>
      </c>
      <c r="B128">
        <f>IF(M$1=업무할당!$I129,업무할당!$H129,0)</f>
        <v>0</v>
      </c>
      <c r="C128">
        <f>IF(N$1=업무할당!$I129,업무할당!$H129,0)</f>
        <v>0</v>
      </c>
    </row>
    <row r="129" spans="1:3" x14ac:dyDescent="0.3">
      <c r="A129">
        <f>IF(L$1=업무할당!$I130,업무할당!$H130,0)</f>
        <v>0</v>
      </c>
      <c r="B129">
        <f>IF(M$1=업무할당!$I130,업무할당!$H130,0)</f>
        <v>0</v>
      </c>
      <c r="C129">
        <f>IF(N$1=업무할당!$I130,업무할당!$H130,0)</f>
        <v>0</v>
      </c>
    </row>
    <row r="130" spans="1:3" x14ac:dyDescent="0.3">
      <c r="A130">
        <f>IF(L$1=업무할당!$I131,업무할당!$H131,0)</f>
        <v>0</v>
      </c>
      <c r="B130">
        <f>IF(M$1=업무할당!$I131,업무할당!$H131,0)</f>
        <v>0</v>
      </c>
      <c r="C130">
        <f>IF(N$1=업무할당!$I131,업무할당!$H131,0)</f>
        <v>0</v>
      </c>
    </row>
    <row r="131" spans="1:3" x14ac:dyDescent="0.3">
      <c r="A131">
        <f>IF(L$1=업무할당!$I132,업무할당!$H132,0)</f>
        <v>0</v>
      </c>
      <c r="B131">
        <f>IF(M$1=업무할당!$I132,업무할당!$H132,0)</f>
        <v>0</v>
      </c>
      <c r="C131">
        <f>IF(N$1=업무할당!$I132,업무할당!$H132,0)</f>
        <v>0</v>
      </c>
    </row>
    <row r="132" spans="1:3" x14ac:dyDescent="0.3">
      <c r="A132">
        <f>IF(L$1=업무할당!$I133,업무할당!$H133,0)</f>
        <v>0</v>
      </c>
      <c r="B132">
        <f>IF(M$1=업무할당!$I133,업무할당!$H133,0)</f>
        <v>0</v>
      </c>
      <c r="C132">
        <f>IF(N$1=업무할당!$I133,업무할당!$H133,0)</f>
        <v>0</v>
      </c>
    </row>
    <row r="133" spans="1:3" x14ac:dyDescent="0.3">
      <c r="A133">
        <f>IF(L$1=업무할당!$I134,업무할당!$H134,0)</f>
        <v>0</v>
      </c>
      <c r="B133">
        <f>IF(M$1=업무할당!$I134,업무할당!$H134,0)</f>
        <v>0</v>
      </c>
      <c r="C133">
        <f>IF(N$1=업무할당!$I134,업무할당!$H134,0)</f>
        <v>0</v>
      </c>
    </row>
    <row r="134" spans="1:3" x14ac:dyDescent="0.3">
      <c r="A134">
        <f>IF(L$1=업무할당!$I135,업무할당!$H135,0)</f>
        <v>0</v>
      </c>
      <c r="B134">
        <f>IF(M$1=업무할당!$I135,업무할당!$H135,0)</f>
        <v>0</v>
      </c>
      <c r="C134">
        <f>IF(N$1=업무할당!$I135,업무할당!$H135,0)</f>
        <v>0</v>
      </c>
    </row>
    <row r="135" spans="1:3" x14ac:dyDescent="0.3">
      <c r="A135">
        <f>IF(L$1=업무할당!$I136,업무할당!$H136,0)</f>
        <v>0</v>
      </c>
      <c r="B135">
        <f>IF(M$1=업무할당!$I136,업무할당!$H136,0)</f>
        <v>0</v>
      </c>
      <c r="C135">
        <f>IF(N$1=업무할당!$I136,업무할당!$H136,0)</f>
        <v>0</v>
      </c>
    </row>
    <row r="136" spans="1:3" x14ac:dyDescent="0.3">
      <c r="A136">
        <f>IF(L$1=업무할당!$I137,업무할당!$H137,0)</f>
        <v>0</v>
      </c>
      <c r="B136">
        <f>IF(M$1=업무할당!$I137,업무할당!$H137,0)</f>
        <v>0</v>
      </c>
      <c r="C136">
        <f>IF(N$1=업무할당!$I137,업무할당!$H137,0)</f>
        <v>0</v>
      </c>
    </row>
    <row r="137" spans="1:3" x14ac:dyDescent="0.3">
      <c r="A137">
        <f>IF(L$1=업무할당!$I138,업무할당!$H138,0)</f>
        <v>0</v>
      </c>
      <c r="B137">
        <f>IF(M$1=업무할당!$I138,업무할당!$H138,0)</f>
        <v>0</v>
      </c>
      <c r="C137">
        <f>IF(N$1=업무할당!$I138,업무할당!$H138,0)</f>
        <v>0</v>
      </c>
    </row>
    <row r="138" spans="1:3" x14ac:dyDescent="0.3">
      <c r="A138">
        <f>IF(L$1=업무할당!$I139,업무할당!$H139,0)</f>
        <v>0</v>
      </c>
      <c r="B138">
        <f>IF(M$1=업무할당!$I139,업무할당!$H139,0)</f>
        <v>0</v>
      </c>
      <c r="C138">
        <f>IF(N$1=업무할당!$I139,업무할당!$H139,0)</f>
        <v>0</v>
      </c>
    </row>
    <row r="139" spans="1:3" x14ac:dyDescent="0.3">
      <c r="A139">
        <f>IF(L$1=업무할당!$I140,업무할당!$H140,0)</f>
        <v>0</v>
      </c>
      <c r="B139">
        <f>IF(M$1=업무할당!$I140,업무할당!$H140,0)</f>
        <v>0</v>
      </c>
      <c r="C139">
        <f>IF(N$1=업무할당!$I140,업무할당!$H140,0)</f>
        <v>0</v>
      </c>
    </row>
    <row r="140" spans="1:3" x14ac:dyDescent="0.3">
      <c r="A140">
        <f>IF(L$1=업무할당!$I141,업무할당!$H141,0)</f>
        <v>0</v>
      </c>
      <c r="B140">
        <f>IF(M$1=업무할당!$I141,업무할당!$H141,0)</f>
        <v>0</v>
      </c>
      <c r="C140">
        <f>IF(N$1=업무할당!$I141,업무할당!$H141,0)</f>
        <v>0</v>
      </c>
    </row>
    <row r="141" spans="1:3" x14ac:dyDescent="0.3">
      <c r="A141">
        <f>IF(L$1=업무할당!$I142,업무할당!$H142,0)</f>
        <v>0</v>
      </c>
      <c r="B141">
        <f>IF(M$1=업무할당!$I142,업무할당!$H142,0)</f>
        <v>0</v>
      </c>
      <c r="C141">
        <f>IF(N$1=업무할당!$I142,업무할당!$H142,0)</f>
        <v>0</v>
      </c>
    </row>
    <row r="142" spans="1:3" x14ac:dyDescent="0.3">
      <c r="A142">
        <f>IF(L$1=업무할당!$I143,업무할당!$H143,0)</f>
        <v>0</v>
      </c>
      <c r="B142">
        <f>IF(M$1=업무할당!$I143,업무할당!$H143,0)</f>
        <v>0</v>
      </c>
      <c r="C142">
        <f>IF(N$1=업무할당!$I143,업무할당!$H143,0)</f>
        <v>0</v>
      </c>
    </row>
    <row r="143" spans="1:3" x14ac:dyDescent="0.3">
      <c r="A143">
        <f>IF(L$1=업무할당!$I144,업무할당!$H144,0)</f>
        <v>0</v>
      </c>
      <c r="B143">
        <f>IF(M$1=업무할당!$I144,업무할당!$H144,0)</f>
        <v>0</v>
      </c>
      <c r="C143">
        <f>IF(N$1=업무할당!$I144,업무할당!$H144,0)</f>
        <v>0</v>
      </c>
    </row>
    <row r="144" spans="1:3" x14ac:dyDescent="0.3">
      <c r="A144">
        <f>IF(L$1=업무할당!$I145,업무할당!$H145,0)</f>
        <v>0</v>
      </c>
      <c r="B144">
        <f>IF(M$1=업무할당!$I145,업무할당!$H145,0)</f>
        <v>0</v>
      </c>
      <c r="C144">
        <f>IF(N$1=업무할당!$I145,업무할당!$H145,0)</f>
        <v>0</v>
      </c>
    </row>
    <row r="145" spans="1:3" x14ac:dyDescent="0.3">
      <c r="A145">
        <f>IF(L$1=업무할당!$I146,업무할당!$H146,0)</f>
        <v>0</v>
      </c>
      <c r="B145">
        <f>IF(M$1=업무할당!$I146,업무할당!$H146,0)</f>
        <v>0</v>
      </c>
      <c r="C145">
        <f>IF(N$1=업무할당!$I146,업무할당!$H146,0)</f>
        <v>0</v>
      </c>
    </row>
    <row r="146" spans="1:3" x14ac:dyDescent="0.3">
      <c r="A146">
        <f>IF(L$1=업무할당!$I147,업무할당!$H147,0)</f>
        <v>0</v>
      </c>
      <c r="B146">
        <f>IF(M$1=업무할당!$I147,업무할당!$H147,0)</f>
        <v>0</v>
      </c>
      <c r="C146">
        <f>IF(N$1=업무할당!$I147,업무할당!$H147,0)</f>
        <v>0</v>
      </c>
    </row>
    <row r="147" spans="1:3" x14ac:dyDescent="0.3">
      <c r="A147">
        <f>IF(L$1=업무할당!$I148,업무할당!$H148,0)</f>
        <v>0</v>
      </c>
      <c r="B147">
        <f>IF(M$1=업무할당!$I148,업무할당!$H148,0)</f>
        <v>0</v>
      </c>
      <c r="C147">
        <f>IF(N$1=업무할당!$I148,업무할당!$H148,0)</f>
        <v>0</v>
      </c>
    </row>
    <row r="148" spans="1:3" x14ac:dyDescent="0.3">
      <c r="A148">
        <f>IF(L$1=업무할당!$I149,업무할당!$H149,0)</f>
        <v>0</v>
      </c>
      <c r="B148">
        <f>IF(M$1=업무할당!$I149,업무할당!$H149,0)</f>
        <v>0</v>
      </c>
      <c r="C148">
        <f>IF(N$1=업무할당!$I149,업무할당!$H149,0)</f>
        <v>0</v>
      </c>
    </row>
    <row r="149" spans="1:3" x14ac:dyDescent="0.3">
      <c r="A149">
        <f>IF(L$1=업무할당!$I150,업무할당!$H150,0)</f>
        <v>0</v>
      </c>
      <c r="B149">
        <f>IF(M$1=업무할당!$I150,업무할당!$H150,0)</f>
        <v>0</v>
      </c>
      <c r="C149">
        <f>IF(N$1=업무할당!$I150,업무할당!$H150,0)</f>
        <v>0</v>
      </c>
    </row>
    <row r="150" spans="1:3" x14ac:dyDescent="0.3">
      <c r="A150">
        <f>IF(L$1=업무할당!$I151,업무할당!$H151,0)</f>
        <v>0</v>
      </c>
      <c r="B150">
        <f>IF(M$1=업무할당!$I151,업무할당!$H151,0)</f>
        <v>0</v>
      </c>
      <c r="C150">
        <f>IF(N$1=업무할당!$I151,업무할당!$H151,0)</f>
        <v>0</v>
      </c>
    </row>
    <row r="151" spans="1:3" x14ac:dyDescent="0.3">
      <c r="A151">
        <f>IF(L$1=업무할당!$I152,업무할당!$H152,0)</f>
        <v>0</v>
      </c>
      <c r="B151">
        <f>IF(M$1=업무할당!$I152,업무할당!$H152,0)</f>
        <v>0</v>
      </c>
      <c r="C151">
        <f>IF(N$1=업무할당!$I152,업무할당!$H152,0)</f>
        <v>0</v>
      </c>
    </row>
    <row r="152" spans="1:3" x14ac:dyDescent="0.3">
      <c r="A152">
        <f>IF(L$1=업무할당!$I153,업무할당!$H153,0)</f>
        <v>0</v>
      </c>
      <c r="B152">
        <f>IF(M$1=업무할당!$I153,업무할당!$H153,0)</f>
        <v>0</v>
      </c>
      <c r="C152">
        <f>IF(N$1=업무할당!$I153,업무할당!$H153,0)</f>
        <v>0</v>
      </c>
    </row>
    <row r="153" spans="1:3" x14ac:dyDescent="0.3">
      <c r="A153">
        <f>IF(L$1=업무할당!$I154,업무할당!$H154,0)</f>
        <v>0</v>
      </c>
      <c r="B153">
        <f>IF(M$1=업무할당!$I154,업무할당!$H154,0)</f>
        <v>0</v>
      </c>
      <c r="C153">
        <f>IF(N$1=업무할당!$I154,업무할당!$H154,0)</f>
        <v>0</v>
      </c>
    </row>
    <row r="154" spans="1:3" x14ac:dyDescent="0.3">
      <c r="A154">
        <f>IF(L$1=업무할당!$I155,업무할당!$H155,0)</f>
        <v>0</v>
      </c>
      <c r="B154">
        <f>IF(M$1=업무할당!$I155,업무할당!$H155,0)</f>
        <v>0</v>
      </c>
      <c r="C154">
        <f>IF(N$1=업무할당!$I155,업무할당!$H155,0)</f>
        <v>0</v>
      </c>
    </row>
    <row r="155" spans="1:3" x14ac:dyDescent="0.3">
      <c r="A155">
        <f>IF(L$1=업무할당!$I156,업무할당!$H156,0)</f>
        <v>0</v>
      </c>
      <c r="B155">
        <f>IF(M$1=업무할당!$I156,업무할당!$H156,0)</f>
        <v>0</v>
      </c>
      <c r="C155">
        <f>IF(N$1=업무할당!$I156,업무할당!$H156,0)</f>
        <v>0</v>
      </c>
    </row>
    <row r="156" spans="1:3" x14ac:dyDescent="0.3">
      <c r="A156">
        <f>IF(L$1=업무할당!$I157,업무할당!$H157,0)</f>
        <v>0</v>
      </c>
      <c r="B156">
        <f>IF(M$1=업무할당!$I157,업무할당!$H157,0)</f>
        <v>0</v>
      </c>
      <c r="C156">
        <f>IF(N$1=업무할당!$I157,업무할당!$H157,0)</f>
        <v>0</v>
      </c>
    </row>
    <row r="157" spans="1:3" x14ac:dyDescent="0.3">
      <c r="A157">
        <f>IF(L$1=업무할당!$I158,업무할당!$H158,0)</f>
        <v>0</v>
      </c>
      <c r="B157">
        <f>IF(M$1=업무할당!$I158,업무할당!$H158,0)</f>
        <v>0</v>
      </c>
      <c r="C157">
        <f>IF(N$1=업무할당!$I158,업무할당!$H158,0)</f>
        <v>0</v>
      </c>
    </row>
    <row r="158" spans="1:3" x14ac:dyDescent="0.3">
      <c r="A158">
        <f>IF(L$1=업무할당!$I159,업무할당!$H159,0)</f>
        <v>0</v>
      </c>
      <c r="B158">
        <f>IF(M$1=업무할당!$I159,업무할당!$H159,0)</f>
        <v>0</v>
      </c>
      <c r="C158">
        <f>IF(N$1=업무할당!$I159,업무할당!$H159,0)</f>
        <v>0</v>
      </c>
    </row>
    <row r="159" spans="1:3" x14ac:dyDescent="0.3">
      <c r="A159">
        <f>IF(L$1=업무할당!$I160,업무할당!$H160,0)</f>
        <v>0</v>
      </c>
      <c r="B159">
        <f>IF(M$1=업무할당!$I160,업무할당!$H160,0)</f>
        <v>0</v>
      </c>
      <c r="C159">
        <f>IF(N$1=업무할당!$I160,업무할당!$H160,0)</f>
        <v>0</v>
      </c>
    </row>
    <row r="160" spans="1:3" x14ac:dyDescent="0.3">
      <c r="A160">
        <f>IF(L$1=업무할당!$I161,업무할당!$H161,0)</f>
        <v>0</v>
      </c>
      <c r="B160">
        <f>IF(M$1=업무할당!$I161,업무할당!$H161,0)</f>
        <v>0</v>
      </c>
      <c r="C160">
        <f>IF(N$1=업무할당!$I161,업무할당!$H161,0)</f>
        <v>0</v>
      </c>
    </row>
    <row r="161" spans="1:3" x14ac:dyDescent="0.3">
      <c r="A161">
        <f>IF(L$1=업무할당!$I162,업무할당!$H162,0)</f>
        <v>0</v>
      </c>
      <c r="B161">
        <f>IF(M$1=업무할당!$I162,업무할당!$H162,0)</f>
        <v>0</v>
      </c>
      <c r="C161">
        <f>IF(N$1=업무할당!$I162,업무할당!$H162,0)</f>
        <v>0</v>
      </c>
    </row>
    <row r="162" spans="1:3" x14ac:dyDescent="0.3">
      <c r="A162">
        <f>IF(L$1=업무할당!$I163,업무할당!$H163,0)</f>
        <v>0</v>
      </c>
      <c r="B162">
        <f>IF(M$1=업무할당!$I163,업무할당!$H163,0)</f>
        <v>0</v>
      </c>
      <c r="C162">
        <f>IF(N$1=업무할당!$I163,업무할당!$H163,0)</f>
        <v>0</v>
      </c>
    </row>
    <row r="163" spans="1:3" x14ac:dyDescent="0.3">
      <c r="A163">
        <f>IF(L$1=업무할당!$I164,업무할당!$H164,0)</f>
        <v>0</v>
      </c>
      <c r="B163">
        <f>IF(M$1=업무할당!$I164,업무할당!$H164,0)</f>
        <v>0</v>
      </c>
      <c r="C163">
        <f>IF(N$1=업무할당!$I164,업무할당!$H164,0)</f>
        <v>0</v>
      </c>
    </row>
    <row r="164" spans="1:3" x14ac:dyDescent="0.3">
      <c r="A164">
        <f>IF(L$1=업무할당!$I165,업무할당!$H165,0)</f>
        <v>0</v>
      </c>
      <c r="B164">
        <f>IF(M$1=업무할당!$I165,업무할당!$H165,0)</f>
        <v>0</v>
      </c>
      <c r="C164">
        <f>IF(N$1=업무할당!$I165,업무할당!$H165,0)</f>
        <v>0</v>
      </c>
    </row>
    <row r="165" spans="1:3" x14ac:dyDescent="0.3">
      <c r="A165">
        <f>IF(L$1=업무할당!$I166,업무할당!$H166,0)</f>
        <v>0</v>
      </c>
      <c r="B165">
        <f>IF(M$1=업무할당!$I166,업무할당!$H166,0)</f>
        <v>0</v>
      </c>
      <c r="C165">
        <f>IF(N$1=업무할당!$I166,업무할당!$H166,0)</f>
        <v>0</v>
      </c>
    </row>
    <row r="166" spans="1:3" x14ac:dyDescent="0.3">
      <c r="A166">
        <f>IF(L$1=업무할당!$I167,업무할당!$H167,0)</f>
        <v>0</v>
      </c>
      <c r="B166">
        <f>IF(M$1=업무할당!$I167,업무할당!$H167,0)</f>
        <v>0</v>
      </c>
      <c r="C166">
        <f>IF(N$1=업무할당!$I167,업무할당!$H167,0)</f>
        <v>0</v>
      </c>
    </row>
    <row r="167" spans="1:3" x14ac:dyDescent="0.3">
      <c r="A167">
        <f>IF(L$1=업무할당!$I168,업무할당!$H168,0)</f>
        <v>0</v>
      </c>
      <c r="B167">
        <f>IF(M$1=업무할당!$I168,업무할당!$H168,0)</f>
        <v>0</v>
      </c>
      <c r="C167">
        <f>IF(N$1=업무할당!$I168,업무할당!$H168,0)</f>
        <v>0</v>
      </c>
    </row>
    <row r="168" spans="1:3" x14ac:dyDescent="0.3">
      <c r="A168">
        <f>IF(L$1=업무할당!$I169,업무할당!$H169,0)</f>
        <v>0</v>
      </c>
      <c r="B168">
        <f>IF(M$1=업무할당!$I169,업무할당!$H169,0)</f>
        <v>0</v>
      </c>
      <c r="C168">
        <f>IF(N$1=업무할당!$I169,업무할당!$H169,0)</f>
        <v>0</v>
      </c>
    </row>
    <row r="169" spans="1:3" x14ac:dyDescent="0.3">
      <c r="A169">
        <f>IF(L$1=업무할당!$I170,업무할당!$H170,0)</f>
        <v>0</v>
      </c>
      <c r="B169">
        <f>IF(M$1=업무할당!$I170,업무할당!$H170,0)</f>
        <v>0</v>
      </c>
      <c r="C169">
        <f>IF(N$1=업무할당!$I170,업무할당!$H170,0)</f>
        <v>0</v>
      </c>
    </row>
    <row r="170" spans="1:3" x14ac:dyDescent="0.3">
      <c r="A170">
        <f>IF(L$1=업무할당!$I171,업무할당!$H171,0)</f>
        <v>0</v>
      </c>
      <c r="B170">
        <f>IF(M$1=업무할당!$I171,업무할당!$H171,0)</f>
        <v>0</v>
      </c>
      <c r="C170">
        <f>IF(N$1=업무할당!$I171,업무할당!$H171,0)</f>
        <v>0</v>
      </c>
    </row>
    <row r="171" spans="1:3" x14ac:dyDescent="0.3">
      <c r="A171">
        <f>IF(L$1=업무할당!$I172,업무할당!$H172,0)</f>
        <v>0</v>
      </c>
      <c r="B171">
        <f>IF(M$1=업무할당!$I172,업무할당!$H172,0)</f>
        <v>0</v>
      </c>
      <c r="C171">
        <f>IF(N$1=업무할당!$I172,업무할당!$H172,0)</f>
        <v>0</v>
      </c>
    </row>
    <row r="172" spans="1:3" x14ac:dyDescent="0.3">
      <c r="A172">
        <f>IF(L$1=업무할당!$I173,업무할당!$H173,0)</f>
        <v>0</v>
      </c>
      <c r="B172">
        <f>IF(M$1=업무할당!$I173,업무할당!$H173,0)</f>
        <v>0</v>
      </c>
      <c r="C172">
        <f>IF(N$1=업무할당!$I173,업무할당!$H173,0)</f>
        <v>0</v>
      </c>
    </row>
    <row r="173" spans="1:3" x14ac:dyDescent="0.3">
      <c r="A173">
        <f>IF(L$1=업무할당!$I174,업무할당!$H174,0)</f>
        <v>0</v>
      </c>
      <c r="B173">
        <f>IF(M$1=업무할당!$I174,업무할당!$H174,0)</f>
        <v>0</v>
      </c>
      <c r="C173">
        <f>IF(N$1=업무할당!$I174,업무할당!$H174,0)</f>
        <v>0</v>
      </c>
    </row>
    <row r="174" spans="1:3" x14ac:dyDescent="0.3">
      <c r="A174">
        <f>IF(L$1=업무할당!$I175,업무할당!$H175,0)</f>
        <v>0</v>
      </c>
      <c r="B174">
        <f>IF(M$1=업무할당!$I175,업무할당!$H175,0)</f>
        <v>0</v>
      </c>
      <c r="C174">
        <f>IF(N$1=업무할당!$I175,업무할당!$H175,0)</f>
        <v>0</v>
      </c>
    </row>
    <row r="175" spans="1:3" x14ac:dyDescent="0.3">
      <c r="A175">
        <f>IF(L$1=업무할당!$I176,업무할당!$H176,0)</f>
        <v>0</v>
      </c>
      <c r="B175">
        <f>IF(M$1=업무할당!$I176,업무할당!$H176,0)</f>
        <v>0</v>
      </c>
      <c r="C175">
        <f>IF(N$1=업무할당!$I176,업무할당!$H176,0)</f>
        <v>0</v>
      </c>
    </row>
    <row r="176" spans="1:3" x14ac:dyDescent="0.3">
      <c r="A176">
        <f>IF(L$1=업무할당!$I177,업무할당!$H177,0)</f>
        <v>0</v>
      </c>
      <c r="B176">
        <f>IF(M$1=업무할당!$I177,업무할당!$H177,0)</f>
        <v>0</v>
      </c>
      <c r="C176">
        <f>IF(N$1=업무할당!$I177,업무할당!$H177,0)</f>
        <v>0</v>
      </c>
    </row>
    <row r="177" spans="1:3" x14ac:dyDescent="0.3">
      <c r="A177">
        <f>IF(L$1=업무할당!$I178,업무할당!$H178,0)</f>
        <v>0</v>
      </c>
      <c r="B177">
        <f>IF(M$1=업무할당!$I178,업무할당!$H178,0)</f>
        <v>0</v>
      </c>
      <c r="C177">
        <f>IF(N$1=업무할당!$I178,업무할당!$H178,0)</f>
        <v>0</v>
      </c>
    </row>
    <row r="178" spans="1:3" x14ac:dyDescent="0.3">
      <c r="A178">
        <f>IF(L$1=업무할당!$I179,업무할당!$H179,0)</f>
        <v>0</v>
      </c>
      <c r="B178">
        <f>IF(M$1=업무할당!$I179,업무할당!$H179,0)</f>
        <v>0</v>
      </c>
      <c r="C178">
        <f>IF(N$1=업무할당!$I179,업무할당!$H179,0)</f>
        <v>0</v>
      </c>
    </row>
    <row r="179" spans="1:3" x14ac:dyDescent="0.3">
      <c r="A179">
        <f>IF(L$1=업무할당!$I180,업무할당!$H180,0)</f>
        <v>0</v>
      </c>
      <c r="B179">
        <f>IF(M$1=업무할당!$I180,업무할당!$H180,0)</f>
        <v>0</v>
      </c>
      <c r="C179">
        <f>IF(N$1=업무할당!$I180,업무할당!$H180,0)</f>
        <v>0</v>
      </c>
    </row>
    <row r="180" spans="1:3" x14ac:dyDescent="0.3">
      <c r="A180">
        <f>IF(L$1=업무할당!$I181,업무할당!$H181,0)</f>
        <v>0</v>
      </c>
      <c r="B180">
        <f>IF(M$1=업무할당!$I181,업무할당!$H181,0)</f>
        <v>0</v>
      </c>
      <c r="C180">
        <f>IF(N$1=업무할당!$I181,업무할당!$H181,0)</f>
        <v>0</v>
      </c>
    </row>
    <row r="181" spans="1:3" x14ac:dyDescent="0.3">
      <c r="A181">
        <f>IF(L$1=업무할당!$I182,업무할당!$H182,0)</f>
        <v>0</v>
      </c>
      <c r="B181">
        <f>IF(M$1=업무할당!$I182,업무할당!$H182,0)</f>
        <v>0</v>
      </c>
      <c r="C181">
        <f>IF(N$1=업무할당!$I182,업무할당!$H182,0)</f>
        <v>0</v>
      </c>
    </row>
    <row r="182" spans="1:3" x14ac:dyDescent="0.3">
      <c r="A182">
        <f>IF(L$1=업무할당!$I183,업무할당!$H183,0)</f>
        <v>0</v>
      </c>
      <c r="B182">
        <f>IF(M$1=업무할당!$I183,업무할당!$H183,0)</f>
        <v>0</v>
      </c>
      <c r="C182">
        <f>IF(N$1=업무할당!$I183,업무할당!$H183,0)</f>
        <v>0</v>
      </c>
    </row>
    <row r="183" spans="1:3" x14ac:dyDescent="0.3">
      <c r="A183">
        <f>IF(L$1=업무할당!$I184,업무할당!$H184,0)</f>
        <v>0</v>
      </c>
      <c r="B183">
        <f>IF(M$1=업무할당!$I184,업무할당!$H184,0)</f>
        <v>0</v>
      </c>
      <c r="C183">
        <f>IF(N$1=업무할당!$I184,업무할당!$H184,0)</f>
        <v>0</v>
      </c>
    </row>
    <row r="184" spans="1:3" x14ac:dyDescent="0.3">
      <c r="A184">
        <f>IF(L$1=업무할당!$I185,업무할당!$H185,0)</f>
        <v>0</v>
      </c>
      <c r="B184">
        <f>IF(M$1=업무할당!$I185,업무할당!$H185,0)</f>
        <v>0</v>
      </c>
      <c r="C184">
        <f>IF(N$1=업무할당!$I185,업무할당!$H185,0)</f>
        <v>0</v>
      </c>
    </row>
    <row r="185" spans="1:3" x14ac:dyDescent="0.3">
      <c r="A185">
        <f>IF(L$1=업무할당!$I186,업무할당!$H186,0)</f>
        <v>0</v>
      </c>
      <c r="B185">
        <f>IF(M$1=업무할당!$I186,업무할당!$H186,0)</f>
        <v>0</v>
      </c>
      <c r="C185">
        <f>IF(N$1=업무할당!$I186,업무할당!$H186,0)</f>
        <v>0</v>
      </c>
    </row>
    <row r="186" spans="1:3" x14ac:dyDescent="0.3">
      <c r="A186">
        <f>IF(L$1=업무할당!$I187,업무할당!$H187,0)</f>
        <v>0</v>
      </c>
      <c r="B186">
        <f>IF(M$1=업무할당!$I187,업무할당!$H187,0)</f>
        <v>0</v>
      </c>
      <c r="C186">
        <f>IF(N$1=업무할당!$I187,업무할당!$H187,0)</f>
        <v>0</v>
      </c>
    </row>
    <row r="187" spans="1:3" x14ac:dyDescent="0.3">
      <c r="A187">
        <f>IF(L$1=업무할당!$I188,업무할당!$H188,0)</f>
        <v>0</v>
      </c>
      <c r="B187">
        <f>IF(M$1=업무할당!$I188,업무할당!$H188,0)</f>
        <v>0</v>
      </c>
      <c r="C187">
        <f>IF(N$1=업무할당!$I188,업무할당!$H188,0)</f>
        <v>0</v>
      </c>
    </row>
    <row r="188" spans="1:3" x14ac:dyDescent="0.3">
      <c r="A188">
        <f>IF(L$1=업무할당!$I189,업무할당!$H189,0)</f>
        <v>0</v>
      </c>
      <c r="B188">
        <f>IF(M$1=업무할당!$I189,업무할당!$H189,0)</f>
        <v>0</v>
      </c>
      <c r="C188">
        <f>IF(N$1=업무할당!$I189,업무할당!$H189,0)</f>
        <v>0</v>
      </c>
    </row>
    <row r="189" spans="1:3" x14ac:dyDescent="0.3">
      <c r="A189">
        <f>IF(L$1=업무할당!$I190,업무할당!$H190,0)</f>
        <v>0</v>
      </c>
      <c r="B189">
        <f>IF(M$1=업무할당!$I190,업무할당!$H190,0)</f>
        <v>0</v>
      </c>
      <c r="C189">
        <f>IF(N$1=업무할당!$I190,업무할당!$H190,0)</f>
        <v>0</v>
      </c>
    </row>
    <row r="190" spans="1:3" x14ac:dyDescent="0.3">
      <c r="A190">
        <f>IF(L$1=업무할당!$I191,업무할당!$H191,0)</f>
        <v>0</v>
      </c>
      <c r="B190">
        <f>IF(M$1=업무할당!$I191,업무할당!$H191,0)</f>
        <v>0</v>
      </c>
      <c r="C190">
        <f>IF(N$1=업무할당!$I191,업무할당!$H191,0)</f>
        <v>0</v>
      </c>
    </row>
    <row r="191" spans="1:3" x14ac:dyDescent="0.3">
      <c r="A191">
        <f>IF(L$1=업무할당!$I192,업무할당!$H192,0)</f>
        <v>0</v>
      </c>
      <c r="B191">
        <f>IF(M$1=업무할당!$I192,업무할당!$H192,0)</f>
        <v>0</v>
      </c>
      <c r="C191">
        <f>IF(N$1=업무할당!$I192,업무할당!$H192,0)</f>
        <v>0</v>
      </c>
    </row>
    <row r="192" spans="1:3" x14ac:dyDescent="0.3">
      <c r="A192">
        <f>IF(L$1=업무할당!$I193,업무할당!$H193,0)</f>
        <v>0</v>
      </c>
      <c r="B192">
        <f>IF(M$1=업무할당!$I193,업무할당!$H193,0)</f>
        <v>0</v>
      </c>
      <c r="C192">
        <f>IF(N$1=업무할당!$I193,업무할당!$H193,0)</f>
        <v>0</v>
      </c>
    </row>
    <row r="193" spans="1:3" x14ac:dyDescent="0.3">
      <c r="A193">
        <f>IF(L$1=업무할당!$I194,업무할당!$H194,0)</f>
        <v>0</v>
      </c>
      <c r="B193">
        <f>IF(M$1=업무할당!$I194,업무할당!$H194,0)</f>
        <v>0</v>
      </c>
      <c r="C193">
        <f>IF(N$1=업무할당!$I194,업무할당!$H194,0)</f>
        <v>0</v>
      </c>
    </row>
    <row r="194" spans="1:3" x14ac:dyDescent="0.3">
      <c r="A194">
        <f>IF(L$1=업무할당!$I195,업무할당!$H195,0)</f>
        <v>0</v>
      </c>
      <c r="B194">
        <f>IF(M$1=업무할당!$I195,업무할당!$H195,0)</f>
        <v>0</v>
      </c>
      <c r="C194">
        <f>IF(N$1=업무할당!$I195,업무할당!$H195,0)</f>
        <v>0</v>
      </c>
    </row>
    <row r="195" spans="1:3" x14ac:dyDescent="0.3">
      <c r="A195">
        <f>IF(L$1=업무할당!$I196,업무할당!$H196,0)</f>
        <v>0</v>
      </c>
      <c r="B195">
        <f>IF(M$1=업무할당!$I196,업무할당!$H196,0)</f>
        <v>0</v>
      </c>
      <c r="C195">
        <f>IF(N$1=업무할당!$I196,업무할당!$H196,0)</f>
        <v>0</v>
      </c>
    </row>
    <row r="196" spans="1:3" x14ac:dyDescent="0.3">
      <c r="A196">
        <f>IF(L$1=업무할당!$I197,업무할당!$H197,0)</f>
        <v>0</v>
      </c>
      <c r="B196">
        <f>IF(M$1=업무할당!$I197,업무할당!$H197,0)</f>
        <v>0</v>
      </c>
      <c r="C196">
        <f>IF(N$1=업무할당!$I197,업무할당!$H197,0)</f>
        <v>0</v>
      </c>
    </row>
    <row r="197" spans="1:3" x14ac:dyDescent="0.3">
      <c r="A197">
        <f>IF(L$1=업무할당!$I198,업무할당!$H198,0)</f>
        <v>0</v>
      </c>
      <c r="B197">
        <f>IF(M$1=업무할당!$I198,업무할당!$H198,0)</f>
        <v>0</v>
      </c>
      <c r="C197">
        <f>IF(N$1=업무할당!$I198,업무할당!$H198,0)</f>
        <v>0</v>
      </c>
    </row>
    <row r="198" spans="1:3" x14ac:dyDescent="0.3">
      <c r="A198">
        <f>IF(L$1=업무할당!$I199,업무할당!$H199,0)</f>
        <v>0</v>
      </c>
      <c r="B198">
        <f>IF(M$1=업무할당!$I199,업무할당!$H199,0)</f>
        <v>0</v>
      </c>
      <c r="C198">
        <f>IF(N$1=업무할당!$I199,업무할당!$H199,0)</f>
        <v>0</v>
      </c>
    </row>
    <row r="199" spans="1:3" x14ac:dyDescent="0.3">
      <c r="A199">
        <f>IF(L$1=업무할당!$I200,업무할당!$H200,0)</f>
        <v>0</v>
      </c>
      <c r="B199">
        <f>IF(M$1=업무할당!$I200,업무할당!$H200,0)</f>
        <v>0</v>
      </c>
      <c r="C199">
        <f>IF(N$1=업무할당!$I200,업무할당!$H200,0)</f>
        <v>0</v>
      </c>
    </row>
    <row r="200" spans="1:3" x14ac:dyDescent="0.3">
      <c r="A200">
        <f>IF(L$1=업무할당!$I201,업무할당!$H201,0)</f>
        <v>0</v>
      </c>
      <c r="B200">
        <f>IF(M$1=업무할당!$I201,업무할당!$H201,0)</f>
        <v>0</v>
      </c>
      <c r="C200">
        <f>IF(N$1=업무할당!$I201,업무할당!$H201,0)</f>
        <v>0</v>
      </c>
    </row>
    <row r="201" spans="1:3" x14ac:dyDescent="0.3">
      <c r="A201">
        <f>IF(L$1=업무할당!$I202,업무할당!$H202,0)</f>
        <v>0</v>
      </c>
      <c r="B201">
        <f>IF(M$1=업무할당!$I202,업무할당!$H202,0)</f>
        <v>0</v>
      </c>
      <c r="C201">
        <f>IF(N$1=업무할당!$I202,업무할당!$H202,0)</f>
        <v>0</v>
      </c>
    </row>
    <row r="202" spans="1:3" x14ac:dyDescent="0.3">
      <c r="A202">
        <f>IF(L$1=업무할당!$I203,업무할당!$H203,0)</f>
        <v>0</v>
      </c>
      <c r="B202">
        <f>IF(M$1=업무할당!$I203,업무할당!$H203,0)</f>
        <v>0</v>
      </c>
      <c r="C202">
        <f>IF(N$1=업무할당!$I203,업무할당!$H203,0)</f>
        <v>0</v>
      </c>
    </row>
    <row r="203" spans="1:3" x14ac:dyDescent="0.3">
      <c r="A203">
        <f>IF(L$1=업무할당!$I204,업무할당!$H204,0)</f>
        <v>0</v>
      </c>
      <c r="B203">
        <f>IF(M$1=업무할당!$I204,업무할당!$H204,0)</f>
        <v>0</v>
      </c>
      <c r="C203">
        <f>IF(N$1=업무할당!$I204,업무할당!$H204,0)</f>
        <v>0</v>
      </c>
    </row>
    <row r="204" spans="1:3" x14ac:dyDescent="0.3">
      <c r="A204">
        <f>IF(L$1=업무할당!$I205,업무할당!$H205,0)</f>
        <v>0</v>
      </c>
      <c r="B204">
        <f>IF(M$1=업무할당!$I205,업무할당!$H205,0)</f>
        <v>0</v>
      </c>
      <c r="C204">
        <f>IF(N$1=업무할당!$I205,업무할당!$H205,0)</f>
        <v>0</v>
      </c>
    </row>
    <row r="205" spans="1:3" x14ac:dyDescent="0.3">
      <c r="A205">
        <f>IF(L$1=업무할당!$I206,업무할당!$H206,0)</f>
        <v>0</v>
      </c>
      <c r="B205">
        <f>IF(M$1=업무할당!$I206,업무할당!$H206,0)</f>
        <v>0</v>
      </c>
      <c r="C205">
        <f>IF(N$1=업무할당!$I206,업무할당!$H206,0)</f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H4" sqref="H4"/>
    </sheetView>
  </sheetViews>
  <sheetFormatPr defaultRowHeight="16.5" x14ac:dyDescent="0.3"/>
  <cols>
    <col min="2" max="2" width="17" customWidth="1"/>
    <col min="3" max="3" width="10.375" customWidth="1"/>
    <col min="5" max="5" width="14" customWidth="1"/>
    <col min="6" max="6" width="23.75" customWidth="1"/>
    <col min="8" max="8" width="13.75" customWidth="1"/>
    <col min="9" max="9" width="12.75" customWidth="1"/>
  </cols>
  <sheetData>
    <row r="1" spans="1:9" x14ac:dyDescent="0.3">
      <c r="A1" s="68" t="s">
        <v>104</v>
      </c>
      <c r="B1" s="69" t="s">
        <v>105</v>
      </c>
      <c r="C1" s="69" t="s">
        <v>106</v>
      </c>
      <c r="D1" s="69" t="s">
        <v>107</v>
      </c>
      <c r="E1" s="69" t="s">
        <v>108</v>
      </c>
      <c r="F1" s="70" t="s">
        <v>109</v>
      </c>
      <c r="H1" s="94" t="s">
        <v>114</v>
      </c>
      <c r="I1" s="95" t="s">
        <v>102</v>
      </c>
    </row>
    <row r="2" spans="1:9" x14ac:dyDescent="0.3">
      <c r="A2" s="61" t="s">
        <v>111</v>
      </c>
      <c r="B2" s="62" t="s">
        <v>112</v>
      </c>
      <c r="C2" s="63">
        <v>35000</v>
      </c>
      <c r="D2" s="62" t="s">
        <v>58</v>
      </c>
      <c r="E2" s="62"/>
      <c r="F2" s="64"/>
      <c r="H2" s="96" t="s">
        <v>125</v>
      </c>
      <c r="I2" s="64">
        <f>SUMIF(E:E,H2,C:C)</f>
        <v>0</v>
      </c>
    </row>
    <row r="3" spans="1:9" x14ac:dyDescent="0.3">
      <c r="A3" s="61" t="s">
        <v>111</v>
      </c>
      <c r="B3" s="62" t="s">
        <v>112</v>
      </c>
      <c r="C3" s="63">
        <v>85000</v>
      </c>
      <c r="D3" s="62" t="s">
        <v>8</v>
      </c>
      <c r="E3" s="62"/>
      <c r="F3" s="64"/>
      <c r="H3" s="96"/>
      <c r="I3" s="64">
        <f t="shared" ref="I3:I22" si="0">SUMIF(E:E,H3,C:C)</f>
        <v>0</v>
      </c>
    </row>
    <row r="4" spans="1:9" x14ac:dyDescent="0.3">
      <c r="A4" s="61" t="s">
        <v>50</v>
      </c>
      <c r="B4" s="62" t="s">
        <v>110</v>
      </c>
      <c r="C4" s="63">
        <v>35000</v>
      </c>
      <c r="D4" s="62" t="s">
        <v>8</v>
      </c>
      <c r="E4" s="62"/>
      <c r="F4" s="64"/>
      <c r="H4" s="96"/>
      <c r="I4" s="64">
        <f t="shared" si="0"/>
        <v>0</v>
      </c>
    </row>
    <row r="5" spans="1:9" x14ac:dyDescent="0.3">
      <c r="A5" s="61" t="s">
        <v>111</v>
      </c>
      <c r="B5" s="62" t="s">
        <v>113</v>
      </c>
      <c r="C5" s="63">
        <v>200000</v>
      </c>
      <c r="D5" s="62" t="s">
        <v>8</v>
      </c>
      <c r="E5" s="62"/>
      <c r="F5" s="64"/>
      <c r="H5" s="96"/>
      <c r="I5" s="64">
        <f t="shared" si="0"/>
        <v>0</v>
      </c>
    </row>
    <row r="6" spans="1:9" x14ac:dyDescent="0.3">
      <c r="A6" s="61"/>
      <c r="B6" s="62"/>
      <c r="C6" s="63"/>
      <c r="D6" s="62"/>
      <c r="E6" s="62"/>
      <c r="F6" s="64"/>
      <c r="H6" s="96"/>
      <c r="I6" s="64">
        <f t="shared" si="0"/>
        <v>0</v>
      </c>
    </row>
    <row r="7" spans="1:9" x14ac:dyDescent="0.3">
      <c r="A7" s="61"/>
      <c r="B7" s="62"/>
      <c r="C7" s="63"/>
      <c r="D7" s="62"/>
      <c r="E7" s="62"/>
      <c r="F7" s="64"/>
      <c r="H7" s="96"/>
      <c r="I7" s="64">
        <f t="shared" si="0"/>
        <v>0</v>
      </c>
    </row>
    <row r="8" spans="1:9" x14ac:dyDescent="0.3">
      <c r="A8" s="61"/>
      <c r="B8" s="62"/>
      <c r="C8" s="63"/>
      <c r="D8" s="62"/>
      <c r="E8" s="62"/>
      <c r="F8" s="64"/>
      <c r="H8" s="96"/>
      <c r="I8" s="64">
        <f t="shared" si="0"/>
        <v>0</v>
      </c>
    </row>
    <row r="9" spans="1:9" x14ac:dyDescent="0.3">
      <c r="A9" s="61"/>
      <c r="B9" s="62"/>
      <c r="C9" s="63"/>
      <c r="D9" s="62"/>
      <c r="E9" s="62"/>
      <c r="F9" s="64"/>
      <c r="H9" s="96"/>
      <c r="I9" s="64">
        <f t="shared" si="0"/>
        <v>0</v>
      </c>
    </row>
    <row r="10" spans="1:9" x14ac:dyDescent="0.3">
      <c r="A10" s="61"/>
      <c r="B10" s="62"/>
      <c r="C10" s="63"/>
      <c r="D10" s="62"/>
      <c r="E10" s="62"/>
      <c r="F10" s="64"/>
      <c r="H10" s="96"/>
      <c r="I10" s="64">
        <f t="shared" si="0"/>
        <v>0</v>
      </c>
    </row>
    <row r="11" spans="1:9" x14ac:dyDescent="0.3">
      <c r="A11" s="61"/>
      <c r="B11" s="62"/>
      <c r="C11" s="62"/>
      <c r="D11" s="62"/>
      <c r="E11" s="62"/>
      <c r="F11" s="64"/>
      <c r="H11" s="96"/>
      <c r="I11" s="64">
        <f t="shared" si="0"/>
        <v>0</v>
      </c>
    </row>
    <row r="12" spans="1:9" x14ac:dyDescent="0.3">
      <c r="A12" s="61"/>
      <c r="B12" s="62"/>
      <c r="C12" s="62"/>
      <c r="D12" s="62"/>
      <c r="E12" s="62"/>
      <c r="F12" s="64"/>
      <c r="H12" s="96"/>
      <c r="I12" s="64">
        <f t="shared" si="0"/>
        <v>0</v>
      </c>
    </row>
    <row r="13" spans="1:9" x14ac:dyDescent="0.3">
      <c r="A13" s="61"/>
      <c r="B13" s="62"/>
      <c r="C13" s="62"/>
      <c r="D13" s="62"/>
      <c r="E13" s="62"/>
      <c r="F13" s="64"/>
      <c r="H13" s="96"/>
      <c r="I13" s="64">
        <f t="shared" si="0"/>
        <v>0</v>
      </c>
    </row>
    <row r="14" spans="1:9" x14ac:dyDescent="0.3">
      <c r="A14" s="61"/>
      <c r="B14" s="62"/>
      <c r="C14" s="62"/>
      <c r="D14" s="62"/>
      <c r="E14" s="62"/>
      <c r="F14" s="64"/>
      <c r="H14" s="96"/>
      <c r="I14" s="64">
        <f t="shared" si="0"/>
        <v>0</v>
      </c>
    </row>
    <row r="15" spans="1:9" x14ac:dyDescent="0.3">
      <c r="A15" s="61"/>
      <c r="B15" s="62"/>
      <c r="C15" s="62"/>
      <c r="D15" s="62"/>
      <c r="E15" s="62"/>
      <c r="F15" s="64"/>
      <c r="H15" s="96"/>
      <c r="I15" s="64">
        <f t="shared" si="0"/>
        <v>0</v>
      </c>
    </row>
    <row r="16" spans="1:9" x14ac:dyDescent="0.3">
      <c r="A16" s="61"/>
      <c r="B16" s="62"/>
      <c r="C16" s="62"/>
      <c r="D16" s="62"/>
      <c r="E16" s="62"/>
      <c r="F16" s="64"/>
      <c r="H16" s="96"/>
      <c r="I16" s="64">
        <f t="shared" si="0"/>
        <v>0</v>
      </c>
    </row>
    <row r="17" spans="1:9" x14ac:dyDescent="0.3">
      <c r="A17" s="61"/>
      <c r="B17" s="62"/>
      <c r="C17" s="62"/>
      <c r="D17" s="62"/>
      <c r="E17" s="62"/>
      <c r="F17" s="64"/>
      <c r="H17" s="96"/>
      <c r="I17" s="64">
        <f t="shared" si="0"/>
        <v>0</v>
      </c>
    </row>
    <row r="18" spans="1:9" x14ac:dyDescent="0.3">
      <c r="A18" s="61"/>
      <c r="B18" s="62"/>
      <c r="C18" s="62"/>
      <c r="D18" s="62"/>
      <c r="E18" s="62"/>
      <c r="F18" s="64"/>
      <c r="H18" s="96"/>
      <c r="I18" s="64">
        <f t="shared" si="0"/>
        <v>0</v>
      </c>
    </row>
    <row r="19" spans="1:9" x14ac:dyDescent="0.3">
      <c r="A19" s="61"/>
      <c r="B19" s="62"/>
      <c r="C19" s="62"/>
      <c r="D19" s="62"/>
      <c r="E19" s="62"/>
      <c r="F19" s="64"/>
      <c r="H19" s="96"/>
      <c r="I19" s="64">
        <f t="shared" si="0"/>
        <v>0</v>
      </c>
    </row>
    <row r="20" spans="1:9" x14ac:dyDescent="0.3">
      <c r="A20" s="61"/>
      <c r="B20" s="62"/>
      <c r="C20" s="62"/>
      <c r="D20" s="62"/>
      <c r="E20" s="62"/>
      <c r="F20" s="64"/>
      <c r="H20" s="96"/>
      <c r="I20" s="64">
        <f t="shared" si="0"/>
        <v>0</v>
      </c>
    </row>
    <row r="21" spans="1:9" x14ac:dyDescent="0.3">
      <c r="A21" s="61"/>
      <c r="B21" s="62"/>
      <c r="C21" s="62"/>
      <c r="D21" s="62"/>
      <c r="E21" s="62"/>
      <c r="F21" s="64"/>
      <c r="H21" s="96"/>
      <c r="I21" s="64">
        <f t="shared" si="0"/>
        <v>0</v>
      </c>
    </row>
    <row r="22" spans="1:9" ht="17.25" thickBot="1" x14ac:dyDescent="0.35">
      <c r="A22" s="61"/>
      <c r="B22" s="62"/>
      <c r="C22" s="62"/>
      <c r="D22" s="62"/>
      <c r="E22" s="62"/>
      <c r="F22" s="64"/>
      <c r="H22" s="97"/>
      <c r="I22" s="67">
        <f t="shared" si="0"/>
        <v>0</v>
      </c>
    </row>
    <row r="23" spans="1:9" x14ac:dyDescent="0.3">
      <c r="A23" s="61"/>
      <c r="B23" s="62"/>
      <c r="C23" s="62"/>
      <c r="D23" s="62"/>
      <c r="E23" s="62"/>
      <c r="F23" s="64"/>
    </row>
    <row r="24" spans="1:9" x14ac:dyDescent="0.3">
      <c r="A24" s="61"/>
      <c r="B24" s="62"/>
      <c r="C24" s="62"/>
      <c r="D24" s="62"/>
      <c r="E24" s="62"/>
      <c r="F24" s="64"/>
    </row>
    <row r="25" spans="1:9" x14ac:dyDescent="0.3">
      <c r="A25" s="61"/>
      <c r="B25" s="62"/>
      <c r="C25" s="62"/>
      <c r="D25" s="62"/>
      <c r="E25" s="62"/>
      <c r="F25" s="64"/>
    </row>
    <row r="26" spans="1:9" x14ac:dyDescent="0.3">
      <c r="A26" s="61"/>
      <c r="B26" s="62"/>
      <c r="C26" s="62"/>
      <c r="D26" s="62"/>
      <c r="E26" s="62"/>
      <c r="F26" s="64"/>
    </row>
    <row r="27" spans="1:9" x14ac:dyDescent="0.3">
      <c r="A27" s="61"/>
      <c r="B27" s="62"/>
      <c r="C27" s="62"/>
      <c r="D27" s="62"/>
      <c r="E27" s="62"/>
      <c r="F27" s="64"/>
    </row>
    <row r="28" spans="1:9" x14ac:dyDescent="0.3">
      <c r="A28" s="61"/>
      <c r="B28" s="62"/>
      <c r="C28" s="62"/>
      <c r="D28" s="62"/>
      <c r="E28" s="62"/>
      <c r="F28" s="64"/>
    </row>
    <row r="29" spans="1:9" x14ac:dyDescent="0.3">
      <c r="A29" s="61"/>
      <c r="B29" s="62"/>
      <c r="C29" s="62"/>
      <c r="D29" s="62"/>
      <c r="E29" s="62"/>
      <c r="F29" s="64"/>
    </row>
    <row r="30" spans="1:9" x14ac:dyDescent="0.3">
      <c r="A30" s="61"/>
      <c r="B30" s="62"/>
      <c r="C30" s="62"/>
      <c r="D30" s="62"/>
      <c r="E30" s="62"/>
      <c r="F30" s="64"/>
    </row>
    <row r="31" spans="1:9" x14ac:dyDescent="0.3">
      <c r="A31" s="61"/>
      <c r="B31" s="62"/>
      <c r="C31" s="62"/>
      <c r="D31" s="62"/>
      <c r="E31" s="62"/>
      <c r="F31" s="64"/>
    </row>
    <row r="32" spans="1:9" x14ac:dyDescent="0.3">
      <c r="A32" s="61"/>
      <c r="B32" s="62"/>
      <c r="C32" s="62"/>
      <c r="D32" s="62"/>
      <c r="E32" s="62"/>
      <c r="F32" s="64"/>
    </row>
    <row r="33" spans="1:6" x14ac:dyDescent="0.3">
      <c r="A33" s="61"/>
      <c r="B33" s="62"/>
      <c r="C33" s="62"/>
      <c r="D33" s="62"/>
      <c r="E33" s="62"/>
      <c r="F33" s="64"/>
    </row>
    <row r="34" spans="1:6" x14ac:dyDescent="0.3">
      <c r="A34" s="61"/>
      <c r="B34" s="62"/>
      <c r="C34" s="62"/>
      <c r="D34" s="62"/>
      <c r="E34" s="62"/>
      <c r="F34" s="64"/>
    </row>
    <row r="35" spans="1:6" x14ac:dyDescent="0.3">
      <c r="A35" s="61"/>
      <c r="B35" s="62"/>
      <c r="C35" s="62"/>
      <c r="D35" s="62"/>
      <c r="E35" s="62"/>
      <c r="F35" s="64"/>
    </row>
    <row r="36" spans="1:6" x14ac:dyDescent="0.3">
      <c r="A36" s="61"/>
      <c r="B36" s="62"/>
      <c r="C36" s="62"/>
      <c r="D36" s="62"/>
      <c r="E36" s="62"/>
      <c r="F36" s="64"/>
    </row>
    <row r="37" spans="1:6" x14ac:dyDescent="0.3">
      <c r="A37" s="61"/>
      <c r="B37" s="62"/>
      <c r="C37" s="62"/>
      <c r="D37" s="62"/>
      <c r="E37" s="62"/>
      <c r="F37" s="64"/>
    </row>
    <row r="38" spans="1:6" x14ac:dyDescent="0.3">
      <c r="A38" s="61"/>
      <c r="B38" s="62"/>
      <c r="C38" s="62"/>
      <c r="D38" s="62"/>
      <c r="E38" s="62"/>
      <c r="F38" s="64"/>
    </row>
    <row r="39" spans="1:6" x14ac:dyDescent="0.3">
      <c r="A39" s="61"/>
      <c r="B39" s="62"/>
      <c r="C39" s="62"/>
      <c r="D39" s="62"/>
      <c r="E39" s="62"/>
      <c r="F39" s="64"/>
    </row>
    <row r="40" spans="1:6" ht="17.25" thickBot="1" x14ac:dyDescent="0.35">
      <c r="A40" s="65"/>
      <c r="B40" s="66"/>
      <c r="C40" s="66"/>
      <c r="D40" s="66"/>
      <c r="E40" s="66"/>
      <c r="F40" s="67"/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E6" sqref="E6"/>
    </sheetView>
  </sheetViews>
  <sheetFormatPr defaultRowHeight="16.5" x14ac:dyDescent="0.3"/>
  <cols>
    <col min="2" max="4" width="10.25" bestFit="1" customWidth="1"/>
    <col min="5" max="5" width="3.5" customWidth="1"/>
    <col min="6" max="6" width="10.25" bestFit="1" customWidth="1"/>
  </cols>
  <sheetData>
    <row r="1" spans="1:13" x14ac:dyDescent="0.3">
      <c r="A1" s="94" t="s">
        <v>123</v>
      </c>
      <c r="B1" s="98" t="s">
        <v>115</v>
      </c>
      <c r="C1" s="99" t="s">
        <v>114</v>
      </c>
      <c r="D1" s="100" t="s">
        <v>116</v>
      </c>
      <c r="E1" s="101"/>
      <c r="F1" s="102"/>
      <c r="G1" s="98" t="s">
        <v>117</v>
      </c>
      <c r="H1" s="98" t="s">
        <v>118</v>
      </c>
      <c r="I1" s="98" t="s">
        <v>119</v>
      </c>
      <c r="J1" s="98" t="s">
        <v>97</v>
      </c>
      <c r="K1" s="98" t="s">
        <v>58</v>
      </c>
      <c r="L1" s="98" t="s">
        <v>98</v>
      </c>
      <c r="M1" s="95" t="s">
        <v>120</v>
      </c>
    </row>
    <row r="2" spans="1:13" x14ac:dyDescent="0.3">
      <c r="A2" s="103" t="s">
        <v>121</v>
      </c>
      <c r="B2" s="103" t="s">
        <v>124</v>
      </c>
      <c r="C2" s="103"/>
      <c r="D2" s="103"/>
      <c r="E2" s="103" t="s">
        <v>122</v>
      </c>
      <c r="F2" s="103"/>
      <c r="G2">
        <v>0</v>
      </c>
      <c r="H2" t="e">
        <f>VLOOKUP(C2,비용정산!H:I,2,FALSE)</f>
        <v>#N/A</v>
      </c>
      <c r="I2" t="e">
        <f>G2-H2</f>
        <v>#N/A</v>
      </c>
      <c r="J2" t="e">
        <f>ROUND(HLOOKUP(J$1,계약서!$C$13:$M$14,2,FALSE)*$I2,0)</f>
        <v>#N/A</v>
      </c>
      <c r="K2" t="e">
        <f>ROUND(HLOOKUP(K$1,계약서!$C$13:$M$14,2,FALSE)*$I2,0)</f>
        <v>#N/A</v>
      </c>
      <c r="L2" t="e">
        <f>ROUND(HLOOKUP(L$1,계약서!$C$13:$M$14,2,FALSE)*$I2,0)</f>
        <v>#N/A</v>
      </c>
    </row>
  </sheetData>
  <mergeCells count="1"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History</vt:lpstr>
      <vt:lpstr>계약서</vt:lpstr>
      <vt:lpstr>업무할당</vt:lpstr>
      <vt:lpstr>Sheet3</vt:lpstr>
      <vt:lpstr>비용정산</vt:lpstr>
      <vt:lpstr>수익정산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cp:revision/>
  <dcterms:created xsi:type="dcterms:W3CDTF">2006-09-16T00:00:00Z</dcterms:created>
  <dcterms:modified xsi:type="dcterms:W3CDTF">2016-05-18T18:11:55Z</dcterms:modified>
</cp:coreProperties>
</file>